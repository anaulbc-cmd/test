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Projection" sheetId="1" state="visible" r:id="rId1"/>
    <sheet xmlns:r="http://schemas.openxmlformats.org/officeDocument/2006/relationships" name="Break-even" sheetId="2" state="visible" r:id="rId2"/>
    <sheet xmlns:r="http://schemas.openxmlformats.org/officeDocument/2006/relationships" name="AI Report Log" sheetId="3" state="visible" r:id="rId3"/>
    <sheet xmlns:r="http://schemas.openxmlformats.org/officeDocument/2006/relationships" name="Leadership Summary" sheetId="4" state="visible" r:id="rId4"/>
  </sheets>
  <definedNames/>
  <calcPr calcId="124519" fullCalcOnLoad="1"/>
</workbook>
</file>

<file path=xl/styles.xml><?xml version="1.0" encoding="utf-8"?>
<styleSheet xmlns="http://schemas.openxmlformats.org/spreadsheetml/2006/main">
  <numFmts count="10">
    <numFmt numFmtId="164" formatCode="0.0"/>
    <numFmt numFmtId="165" formatCode="&quot;$&quot;#,##0.00"/>
    <numFmt numFmtId="166" formatCode="0.0%"/>
    <numFmt numFmtId="167" formatCode="&quot;$&quot;#,##0.00;[Red]-&quot;$&quot;#,##0.00"/>
    <numFmt numFmtId="168" formatCode="&quot;$&quot;#,##0"/>
    <numFmt numFmtId="169" formatCode="&quot;$&quot;#,##0;[Red]-&quot;$&quot;#,##0"/>
    <numFmt numFmtId="170" formatCode="$#,##0.00;[Red]-$#,##0.00"/>
    <numFmt numFmtId="171" formatCode="$#,##0.00"/>
    <numFmt numFmtId="172" formatCode="$#,##0;[Red]-$#,##0"/>
    <numFmt numFmtId="173" formatCode="$#,##0"/>
  </numFmts>
  <fonts count="19">
    <font>
      <name val="Calibri"/>
      <family val="2"/>
      <color theme="1"/>
      <sz val="11"/>
      <scheme val="minor"/>
    </font>
    <font>
      <name val="Calibri"/>
      <b val="1"/>
      <color rgb="00FFFFFF"/>
      <sz val="15"/>
    </font>
    <font>
      <name val="Calibri"/>
      <i val="1"/>
      <color rgb="00404040"/>
      <sz val="11"/>
    </font>
    <font>
      <name val="Calibri"/>
      <b val="1"/>
      <color rgb="00000000"/>
      <sz val="11"/>
    </font>
    <font>
      <name val="Calibri"/>
      <color rgb="000000FF"/>
      <sz val="11"/>
    </font>
    <font>
      <name val="Calibri"/>
      <color rgb="00000000"/>
      <sz val="11"/>
    </font>
    <font>
      <name val="Calibri"/>
      <b val="1"/>
      <color rgb="00FFFFFF"/>
      <sz val="11"/>
    </font>
    <font>
      <name val="Calibri"/>
      <b val="1"/>
      <color rgb="00006747"/>
      <sz val="11"/>
    </font>
    <font>
      <name val="Calibri"/>
      <color rgb="00404040"/>
      <sz val="11"/>
    </font>
    <font>
      <name val="Calibri"/>
      <i val="1"/>
      <color rgb="00404040"/>
      <sz val="10"/>
    </font>
    <font>
      <name val="Calibri"/>
      <b val="1"/>
      <color rgb="00006747"/>
      <sz val="12"/>
    </font>
    <font>
      <name val="Calibri"/>
      <b val="1"/>
      <color rgb="00C00000"/>
      <sz val="11"/>
    </font>
    <font>
      <name val="Calibri"/>
      <color rgb="00404040"/>
      <sz val="10"/>
    </font>
    <font>
      <name val="Calibri"/>
      <i val="1"/>
      <color rgb="00808080"/>
      <sz val="10"/>
    </font>
    <font>
      <b val="1"/>
      <color rgb="00FFFFFF"/>
      <sz val="16"/>
    </font>
    <font>
      <i val="1"/>
      <color rgb="00595959"/>
    </font>
    <font>
      <b val="1"/>
      <color rgb="00FFFFFF"/>
      <sz val="12"/>
    </font>
    <font>
      <b val="1"/>
    </font>
    <font>
      <color rgb="00595959"/>
    </font>
  </fonts>
  <fills count="11">
    <fill>
      <patternFill/>
    </fill>
    <fill>
      <patternFill patternType="gray125"/>
    </fill>
    <fill>
      <patternFill patternType="solid">
        <fgColor rgb="00006747"/>
      </patternFill>
    </fill>
    <fill>
      <patternFill patternType="solid">
        <fgColor rgb="00DDEBF7"/>
      </patternFill>
    </fill>
    <fill>
      <patternFill patternType="solid">
        <fgColor rgb="00FFF2CC"/>
      </patternFill>
    </fill>
    <fill>
      <patternFill patternType="solid">
        <fgColor rgb="002F5597"/>
      </patternFill>
    </fill>
    <fill>
      <patternFill patternType="solid">
        <fgColor rgb="00595959"/>
      </patternFill>
    </fill>
    <fill>
      <patternFill patternType="solid">
        <fgColor rgb="00EDEDED"/>
      </patternFill>
    </fill>
    <fill>
      <patternFill patternType="solid">
        <fgColor rgb="00FBE5E5"/>
      </patternFill>
    </fill>
    <fill>
      <patternFill patternType="solid">
        <fgColor rgb="00C00000"/>
      </patternFill>
    </fill>
    <fill>
      <patternFill patternType="solid">
        <fgColor rgb="00FBF4DC"/>
      </patternFill>
    </fill>
  </fills>
  <borders count="7">
    <border>
      <left/>
      <right/>
      <top/>
      <bottom/>
      <diagonal/>
    </border>
    <border>
      <left style="thin">
        <color rgb="00BFBFBF"/>
      </left>
      <right style="thin">
        <color rgb="00BFBFBF"/>
      </right>
      <top style="thin">
        <color rgb="00BFBFBF"/>
      </top>
      <bottom style="thin">
        <color rgb="00BFBFBF"/>
      </bottom>
    </border>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3">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0" borderId="0" pivotButton="0" quotePrefix="0" xfId="0"/>
    <xf numFmtId="0" fontId="4" fillId="3" borderId="1" pivotButton="0" quotePrefix="0" xfId="0"/>
    <xf numFmtId="0" fontId="5" fillId="4" borderId="1" pivotButton="0" quotePrefix="0" xfId="0"/>
    <xf numFmtId="0" fontId="6" fillId="5" borderId="0" pivotButton="0" quotePrefix="0" xfId="0"/>
    <xf numFmtId="0" fontId="0" fillId="5" borderId="0" pivotButton="0" quotePrefix="0" xfId="0"/>
    <xf numFmtId="0" fontId="3" fillId="0" borderId="0" applyAlignment="1" pivotButton="0" quotePrefix="0" xfId="0">
      <alignment horizontal="right" vertical="center"/>
    </xf>
    <xf numFmtId="0" fontId="5" fillId="0" borderId="0" pivotButton="0" quotePrefix="0" xfId="0"/>
    <xf numFmtId="164" fontId="4" fillId="3" borderId="1" pivotButton="0" quotePrefix="0" xfId="0"/>
    <xf numFmtId="2" fontId="4" fillId="3" borderId="1" pivotButton="0" quotePrefix="0" xfId="0"/>
    <xf numFmtId="165" fontId="4" fillId="3" borderId="1" pivotButton="0" quotePrefix="0" xfId="0"/>
    <xf numFmtId="166" fontId="4" fillId="3" borderId="1" pivotButton="0" quotePrefix="0" xfId="0"/>
    <xf numFmtId="0" fontId="6" fillId="6" borderId="0" pivotButton="0" quotePrefix="0" xfId="0"/>
    <xf numFmtId="0" fontId="0" fillId="6" borderId="0" pivotButton="0" quotePrefix="0" xfId="0"/>
    <xf numFmtId="0" fontId="3" fillId="7" borderId="1" pivotButton="0" quotePrefix="0" xfId="0"/>
    <xf numFmtId="0" fontId="3" fillId="7" borderId="1" applyAlignment="1" pivotButton="0" quotePrefix="0" xfId="0">
      <alignment horizontal="right" vertical="center"/>
    </xf>
    <xf numFmtId="0" fontId="5" fillId="0" borderId="1" applyAlignment="1" pivotButton="0" quotePrefix="0" xfId="0">
      <alignment horizontal="center" vertical="center"/>
    </xf>
    <xf numFmtId="167" fontId="5" fillId="4" borderId="1" pivotButton="0" quotePrefix="0" xfId="0"/>
    <xf numFmtId="0" fontId="3" fillId="0" borderId="2" applyAlignment="1" pivotButton="0" quotePrefix="0" xfId="0">
      <alignment vertical="top" wrapText="1"/>
    </xf>
    <xf numFmtId="167" fontId="3" fillId="4" borderId="1" pivotButton="0" quotePrefix="0" xfId="0"/>
    <xf numFmtId="0" fontId="5" fillId="0" borderId="2" pivotButton="0" quotePrefix="0" xfId="0"/>
    <xf numFmtId="0" fontId="9" fillId="0" borderId="2" pivotButton="0" quotePrefix="0" xfId="0"/>
    <xf numFmtId="0" fontId="10" fillId="0" borderId="2" pivotButton="0" quotePrefix="0" xfId="0"/>
    <xf numFmtId="0" fontId="5" fillId="0" borderId="2" applyAlignment="1" pivotButton="0" quotePrefix="0" xfId="0">
      <alignment vertical="top" wrapText="1"/>
    </xf>
    <xf numFmtId="0" fontId="5" fillId="0" borderId="0" applyAlignment="1" pivotButton="0" quotePrefix="0" xfId="0">
      <alignment vertical="top" wrapText="1"/>
    </xf>
    <xf numFmtId="0" fontId="11" fillId="8" borderId="1" pivotButton="0" quotePrefix="0" xfId="0"/>
    <xf numFmtId="0" fontId="7" fillId="0" borderId="0" pivotButton="0" quotePrefix="0" xfId="0"/>
    <xf numFmtId="168" fontId="4" fillId="3" borderId="1" pivotButton="0" quotePrefix="0" xfId="0"/>
    <xf numFmtId="3" fontId="5" fillId="4" borderId="1" pivotButton="0" quotePrefix="0" xfId="0"/>
    <xf numFmtId="0" fontId="13" fillId="0" borderId="1" pivotButton="0" quotePrefix="0" xfId="0"/>
    <xf numFmtId="169" fontId="5" fillId="4" borderId="1" pivotButton="0" quotePrefix="0" xfId="0"/>
    <xf numFmtId="3" fontId="5" fillId="7" borderId="1" pivotButton="0" quotePrefix="0" xfId="0"/>
    <xf numFmtId="0" fontId="6" fillId="9" borderId="0" pivotButton="0" quotePrefix="0" xfId="0"/>
    <xf numFmtId="0" fontId="0" fillId="9" borderId="0" pivotButton="0" quotePrefix="0" xfId="0"/>
    <xf numFmtId="3" fontId="11" fillId="8" borderId="1" pivotButton="0" quotePrefix="0" xfId="0"/>
    <xf numFmtId="169" fontId="3" fillId="4" borderId="1" pivotButton="0" quotePrefix="0" xfId="0"/>
    <xf numFmtId="165" fontId="5" fillId="4" borderId="1" pivotButton="0" quotePrefix="0" xfId="0"/>
    <xf numFmtId="3" fontId="3" fillId="7" borderId="1" pivotButton="0" quotePrefix="0" xfId="0"/>
    <xf numFmtId="9" fontId="3" fillId="7" borderId="1" pivotButton="0" quotePrefix="0" xfId="0"/>
    <xf numFmtId="10" fontId="5" fillId="4" borderId="1" pivotButton="0" quotePrefix="0" xfId="0"/>
    <xf numFmtId="0" fontId="3" fillId="0" borderId="0" applyAlignment="1" pivotButton="0" quotePrefix="0" xfId="0">
      <alignment vertical="top" wrapText="1"/>
    </xf>
    <xf numFmtId="0" fontId="9" fillId="0" borderId="0" pivotButton="0" quotePrefix="0" xfId="0"/>
    <xf numFmtId="0" fontId="10" fillId="0" borderId="0" pivotButton="0" quotePrefix="0" xfId="0"/>
    <xf numFmtId="0" fontId="12" fillId="10" borderId="0" applyAlignment="1" pivotButton="0" quotePrefix="0" xfId="0">
      <alignment vertical="top" wrapText="1"/>
    </xf>
    <xf numFmtId="0" fontId="0" fillId="4" borderId="1" pivotButton="0" quotePrefix="0" xfId="0"/>
    <xf numFmtId="0" fontId="6" fillId="2" borderId="1" pivotButton="0" quotePrefix="0" xfId="0"/>
    <xf numFmtId="0" fontId="0" fillId="0" borderId="5" pivotButton="0" quotePrefix="0" xfId="0"/>
    <xf numFmtId="0" fontId="0" fillId="0" borderId="6" pivotButton="0" quotePrefix="0" xfId="0"/>
    <xf numFmtId="0" fontId="3" fillId="0" borderId="1" applyAlignment="1" pivotButton="0" quotePrefix="0" xfId="0">
      <alignment horizontal="center" vertical="center"/>
    </xf>
    <xf numFmtId="0" fontId="3" fillId="0" borderId="1" applyAlignment="1" pivotButton="0" quotePrefix="0" xfId="0">
      <alignment vertical="top" wrapText="1"/>
    </xf>
    <xf numFmtId="0" fontId="12" fillId="0" borderId="1" applyAlignment="1" pivotButton="0" quotePrefix="0" xfId="0">
      <alignment vertical="top" wrapText="1"/>
    </xf>
    <xf numFmtId="0" fontId="5" fillId="4" borderId="1" applyAlignment="1" pivotButton="0" quotePrefix="0" xfId="0">
      <alignment vertical="top" wrapText="1"/>
    </xf>
    <xf numFmtId="0" fontId="6" fillId="2" borderId="1" applyAlignment="1" pivotButton="0" quotePrefix="0" xfId="0">
      <alignment vertical="center" wrapText="1"/>
    </xf>
    <xf numFmtId="0" fontId="13" fillId="7" borderId="1" applyAlignment="1" pivotButton="0" quotePrefix="0" xfId="0">
      <alignment vertical="top" wrapText="1"/>
    </xf>
    <xf numFmtId="170" fontId="5" fillId="4" borderId="1" pivotButton="0" quotePrefix="0" xfId="0"/>
    <xf numFmtId="171" fontId="3" fillId="4" borderId="1" pivotButton="0" quotePrefix="0" xfId="0"/>
    <xf numFmtId="172" fontId="5" fillId="4" borderId="1" pivotButton="0" quotePrefix="0" xfId="0"/>
    <xf numFmtId="170" fontId="3" fillId="4" borderId="1" pivotButton="0" quotePrefix="0" xfId="0"/>
    <xf numFmtId="0" fontId="5" fillId="4" borderId="0" applyAlignment="1" pivotButton="0" quotePrefix="0" xfId="0">
      <alignment vertical="top" wrapText="1"/>
    </xf>
    <xf numFmtId="0" fontId="14" fillId="2" borderId="0" pivotButton="0" quotePrefix="0" xfId="0"/>
    <xf numFmtId="0" fontId="15" fillId="0" borderId="0" applyAlignment="1" pivotButton="0" quotePrefix="0" xfId="0">
      <alignment wrapText="1"/>
    </xf>
    <xf numFmtId="0" fontId="16" fillId="5" borderId="0" pivotButton="0" quotePrefix="0" xfId="0"/>
    <xf numFmtId="0" fontId="0" fillId="0" borderId="0" applyAlignment="1" pivotButton="0" quotePrefix="0" xfId="0">
      <alignment vertical="top" wrapText="1"/>
    </xf>
    <xf numFmtId="0" fontId="17" fillId="7" borderId="0" pivotButton="0" quotePrefix="0" xfId="0"/>
    <xf numFmtId="171" fontId="0" fillId="0" borderId="0" pivotButton="0" quotePrefix="0" xfId="0"/>
    <xf numFmtId="0" fontId="18" fillId="0" borderId="0" pivotButton="0" quotePrefix="0" xfId="0"/>
    <xf numFmtId="170" fontId="0" fillId="0" borderId="0" pivotButton="0" quotePrefix="0" xfId="0"/>
    <xf numFmtId="173" fontId="0" fillId="0" borderId="0" pivotButton="0" quotePrefix="0" xfId="0"/>
    <xf numFmtId="3"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Projected cost to make one hoodie: Cotton vs Recycled</a:t>
            </a:r>
          </a:p>
        </rich>
      </tx>
    </title>
    <plotArea>
      <scatterChart>
        <scatterStyle val="lineMarker"/>
        <ser>
          <idx val="0"/>
          <order val="0"/>
          <tx>
            <v>Cotton</v>
          </tx>
          <spPr>
            <a:ln xmlns:a="http://schemas.openxmlformats.org/drawingml/2006/main">
              <a:prstDash val="solid"/>
            </a:ln>
          </spPr>
          <marker>
            <symbol val="circle"/>
            <size val="7"/>
            <spPr>
              <a:ln xmlns:a="http://schemas.openxmlformats.org/drawingml/2006/main">
                <a:prstDash val="solid"/>
              </a:ln>
            </spPr>
          </marker>
          <xVal>
            <numRef>
              <f>'Cost Projection'!$A$24:$A$29</f>
            </numRef>
          </xVal>
          <yVal>
            <numRef>
              <f>'Cost Projection'!$E$24:$E$29</f>
            </numRef>
          </yVal>
          <smooth val="0"/>
        </ser>
        <ser>
          <idx val="1"/>
          <order val="1"/>
          <tx>
            <v>Recycled</v>
          </tx>
          <spPr>
            <a:ln xmlns:a="http://schemas.openxmlformats.org/drawingml/2006/main">
              <a:prstDash val="solid"/>
            </a:ln>
          </spPr>
          <marker>
            <symbol val="circle"/>
            <size val="7"/>
            <spPr>
              <a:ln xmlns:a="http://schemas.openxmlformats.org/drawingml/2006/main">
                <a:prstDash val="solid"/>
              </a:ln>
            </spPr>
          </marker>
          <xVal>
            <numRef>
              <f>'Cost Projection'!$A$24:$A$29</f>
            </numRef>
          </xVal>
          <yVal>
            <numRef>
              <f>'Cost Projection'!$F$24:$F$29</f>
            </numRef>
          </yVal>
          <smooth val="0"/>
        </ser>
        <axId val="10"/>
        <axId val="20"/>
      </scatterChart>
      <valAx>
        <axId val="10"/>
        <scaling>
          <orientation val="minMax"/>
          <max val="5"/>
          <min val="0"/>
        </scaling>
        <delete val="0"/>
        <axPos val="l"/>
        <majorGridlines/>
        <title>
          <tx>
            <rich>
              <a:bodyPr xmlns:a="http://schemas.openxmlformats.org/drawingml/2006/main"/>
              <a:p xmlns:a="http://schemas.openxmlformats.org/drawingml/2006/main">
                <a:pPr>
                  <a:defRPr/>
                </a:pPr>
                <a:r>
                  <a:t>Years from now</a:t>
                </a:r>
              </a:p>
            </rich>
          </tx>
        </title>
        <majorTickMark val="none"/>
        <minorTickMark val="none"/>
        <crossAx val="20"/>
      </valAx>
      <valAx>
        <axId val="20"/>
        <scaling>
          <orientation val="minMax"/>
          <min val="24"/>
        </scaling>
        <delete val="0"/>
        <axPos val="l"/>
        <majorGridlines/>
        <title>
          <tx>
            <rich>
              <a:bodyPr xmlns:a="http://schemas.openxmlformats.org/drawingml/2006/main"/>
              <a:p xmlns:a="http://schemas.openxmlformats.org/drawingml/2006/main">
                <a:pPr>
                  <a:defRPr/>
                </a:pPr>
                <a:r>
                  <a:t>Cost per hoodie ($)</a:t>
                </a:r>
              </a:p>
            </rich>
          </tx>
        </title>
        <numFmt formatCode="$0.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Cost to make one hoodie: Cotton vs Recycled</a:t>
            </a:r>
          </a:p>
        </rich>
      </tx>
    </title>
    <plotArea>
      <scatterChart>
        <scatterStyle val="lineMarker"/>
        <ser>
          <idx val="0"/>
          <order val="0"/>
          <tx>
            <v>Cotton</v>
          </tx>
          <spPr>
            <a:ln xmlns:a="http://schemas.openxmlformats.org/drawingml/2006/main">
              <a:prstDash val="solid"/>
            </a:ln>
          </spPr>
          <marker>
            <symbol val="circle"/>
            <size val="7"/>
            <spPr>
              <a:ln xmlns:a="http://schemas.openxmlformats.org/drawingml/2006/main">
                <a:prstDash val="solid"/>
              </a:ln>
            </spPr>
          </marker>
          <xVal>
            <numRef>
              <f>'Cost Projection'!$A$24:$A$29</f>
            </numRef>
          </xVal>
          <yVal>
            <numRef>
              <f>'Cost Projection'!$E$24:$E$29</f>
            </numRef>
          </yVal>
          <smooth val="0"/>
        </ser>
        <ser>
          <idx val="1"/>
          <order val="1"/>
          <tx>
            <v>Recycled</v>
          </tx>
          <spPr>
            <a:ln xmlns:a="http://schemas.openxmlformats.org/drawingml/2006/main">
              <a:prstDash val="solid"/>
            </a:ln>
          </spPr>
          <marker>
            <symbol val="circle"/>
            <size val="7"/>
            <spPr>
              <a:ln xmlns:a="http://schemas.openxmlformats.org/drawingml/2006/main">
                <a:prstDash val="solid"/>
              </a:ln>
            </spPr>
          </marker>
          <xVal>
            <numRef>
              <f>'Cost Projection'!$A$24:$A$29</f>
            </numRef>
          </xVal>
          <yVal>
            <numRef>
              <f>'Cost Projection'!$F$24:$F$29</f>
            </numRef>
          </yVal>
          <smooth val="0"/>
        </ser>
        <axId val="10"/>
        <axId val="20"/>
      </scatterChart>
      <valAx>
        <axId val="10"/>
        <scaling>
          <orientation val="minMax"/>
          <max val="5"/>
          <min val="0"/>
        </scaling>
        <delete val="0"/>
        <axPos val="l"/>
        <majorGridlines/>
        <title>
          <tx>
            <rich>
              <a:bodyPr xmlns:a="http://schemas.openxmlformats.org/drawingml/2006/main"/>
              <a:p xmlns:a="http://schemas.openxmlformats.org/drawingml/2006/main">
                <a:pPr>
                  <a:defRPr/>
                </a:pPr>
                <a:r>
                  <a:t>Years from now</a:t>
                </a:r>
              </a:p>
            </rich>
          </tx>
        </title>
        <majorTickMark val="none"/>
        <minorTickMark val="none"/>
        <crossAx val="20"/>
      </valAx>
      <valAx>
        <axId val="20"/>
        <scaling>
          <orientation val="minMax"/>
          <min val="24"/>
        </scaling>
        <delete val="0"/>
        <axPos val="l"/>
        <majorGridlines/>
        <title>
          <tx>
            <rich>
              <a:bodyPr xmlns:a="http://schemas.openxmlformats.org/drawingml/2006/main"/>
              <a:p xmlns:a="http://schemas.openxmlformats.org/drawingml/2006/main">
                <a:pPr>
                  <a:defRPr/>
                </a:pPr>
                <a:r>
                  <a:t>Cost per hoodie ($)</a:t>
                </a:r>
              </a:p>
            </rich>
          </tx>
        </title>
        <numFmt formatCode="$0.00"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Recycled premium per hoodie (negative = recycled cheaper)</a:t>
            </a:r>
          </a:p>
        </rich>
      </tx>
    </title>
    <plotArea>
      <barChart>
        <barDir val="col"/>
        <grouping val="clustered"/>
        <ser>
          <idx val="0"/>
          <order val="0"/>
          <spPr>
            <a:ln xmlns:a="http://schemas.openxmlformats.org/drawingml/2006/main">
              <a:prstDash val="solid"/>
            </a:ln>
          </spPr>
          <cat>
            <numRef>
              <f>'Cost Projection'!$A$24:$A$29</f>
            </numRef>
          </cat>
          <val>
            <numRef>
              <f>'Cost Projection'!$G$24:$G$29</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Years from now</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Recycled minus Cotton ($)</a:t>
                </a:r>
              </a:p>
            </rich>
          </tx>
        </title>
        <numFmt formatCode="$0.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drawing1.xml><?xml version="1.0" encoding="utf-8"?>
<wsDr xmlns="http://schemas.openxmlformats.org/drawingml/2006/spreadsheetDrawing">
  <oneCellAnchor>
    <from>
      <col>8</col>
      <colOff>0</colOff>
      <row>4</row>
      <rowOff>0</rowOff>
    </from>
    <ext cx="612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23</row>
      <rowOff>0</rowOff>
    </from>
    <ext cx="540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23</row>
      <rowOff>0</rowOff>
    </from>
    <ext cx="540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2F5597"/>
    <outlinePr summaryBelow="1" summaryRight="1"/>
    <pageSetUpPr fitToPage="1"/>
  </sheetPr>
  <dimension ref="A1:H41"/>
  <sheetViews>
    <sheetView showGridLines="0" workbookViewId="0">
      <selection activeCell="A1" sqref="A1"/>
    </sheetView>
  </sheetViews>
  <sheetFormatPr baseColWidth="8" defaultRowHeight="15"/>
  <cols>
    <col width="44" customWidth="1" min="1" max="1"/>
    <col width="13" customWidth="1" min="2" max="2"/>
    <col width="13" customWidth="1" min="3" max="3"/>
    <col width="14" customWidth="1" min="4" max="4"/>
    <col width="13" customWidth="1" min="5" max="5"/>
    <col width="13" customWidth="1" min="6" max="6"/>
    <col width="19" customWidth="1" min="7" max="7"/>
    <col width="4" customWidth="1" min="8" max="8"/>
  </cols>
  <sheetData>
    <row r="1" ht="28" customHeight="1">
      <c r="A1" s="1" t="inlineStr">
        <is>
          <t>Part A · Campus Threads Co.: projecting hoodie costs</t>
        </is>
      </c>
      <c r="B1" s="2" t="n"/>
      <c r="C1" s="2" t="n"/>
      <c r="D1" s="2" t="n"/>
      <c r="E1" s="2" t="n"/>
      <c r="F1" s="2" t="n"/>
      <c r="G1" s="2" t="n"/>
      <c r="H1" s="2" t="n"/>
    </row>
    <row r="2" ht="34" customHeight="1">
      <c r="A2" s="3" t="inlineStr">
        <is>
          <t>Campus Threads Co. sells hoodies to college students for $60. Should it switch from cotton to recycled fabric? Project what one hoodie costs to make for the next five years. Build every yellow cell with your own formulas (no AI in Parts A and B).</t>
        </is>
      </c>
    </row>
    <row r="3">
      <c r="A3" s="4" t="inlineStr">
        <is>
          <t>Color key</t>
        </is>
      </c>
      <c r="B3" s="5" t="inlineStr">
        <is>
          <t>Input (given)</t>
        </is>
      </c>
      <c r="C3" s="6" t="inlineStr">
        <is>
          <t>You fill this</t>
        </is>
      </c>
    </row>
    <row r="5">
      <c r="A5" s="7" t="inlineStr">
        <is>
          <t>Inputs</t>
        </is>
      </c>
      <c r="B5" s="8" t="n"/>
      <c r="C5" s="8" t="n"/>
    </row>
    <row r="6">
      <c r="A6" s="4" t="inlineStr">
        <is>
          <t>Requirements per hoodie</t>
        </is>
      </c>
      <c r="B6" s="9" t="inlineStr">
        <is>
          <t>Cotton</t>
        </is>
      </c>
      <c r="C6" s="9" t="inlineStr">
        <is>
          <t>Recycled</t>
        </is>
      </c>
    </row>
    <row r="7">
      <c r="A7" s="10" t="inlineStr">
        <is>
          <t>Fabric required (yards)</t>
        </is>
      </c>
      <c r="B7" s="11" t="n">
        <v>2</v>
      </c>
      <c r="C7" s="11" t="n">
        <v>1.8</v>
      </c>
    </row>
    <row r="8">
      <c r="A8" s="10" t="inlineStr">
        <is>
          <t>Labor hours required</t>
        </is>
      </c>
      <c r="B8" s="12" t="n">
        <v>0.5</v>
      </c>
      <c r="C8" s="12" t="n">
        <v>0.45</v>
      </c>
    </row>
    <row r="10">
      <c r="A10" s="4" t="inlineStr">
        <is>
          <t>Cost of fabric</t>
        </is>
      </c>
      <c r="B10" s="9" t="inlineStr">
        <is>
          <t>Cotton</t>
        </is>
      </c>
      <c r="C10" s="9" t="inlineStr">
        <is>
          <t>Recycled</t>
        </is>
      </c>
    </row>
    <row r="11">
      <c r="A11" s="10" t="inlineStr">
        <is>
          <t>Current cost per yard</t>
        </is>
      </c>
      <c r="B11" s="13" t="n">
        <v>6</v>
      </c>
      <c r="C11" s="13" t="n">
        <v>7.75</v>
      </c>
    </row>
    <row r="12">
      <c r="A12" s="10" t="inlineStr">
        <is>
          <t>Projected annual increase</t>
        </is>
      </c>
      <c r="B12" s="14" t="n">
        <v>0.045</v>
      </c>
      <c r="C12" s="14" t="n">
        <v>0.01</v>
      </c>
    </row>
    <row r="14">
      <c r="A14" s="4" t="inlineStr">
        <is>
          <t>Cost of labor</t>
        </is>
      </c>
    </row>
    <row r="15">
      <c r="A15" s="10" t="inlineStr">
        <is>
          <t>Current cost per labor hour</t>
        </is>
      </c>
      <c r="B15" s="13" t="n">
        <v>16</v>
      </c>
    </row>
    <row r="16">
      <c r="A16" s="10" t="inlineStr">
        <is>
          <t>Projected annual increase</t>
        </is>
      </c>
      <c r="B16" s="14" t="n">
        <v>0.035</v>
      </c>
    </row>
    <row r="18">
      <c r="A18" s="4" t="inlineStr">
        <is>
          <t>Other cost</t>
        </is>
      </c>
    </row>
    <row r="19">
      <c r="A19" s="10" t="inlineStr">
        <is>
          <t>Printing &amp; trim per hoodie (stays constant)</t>
        </is>
      </c>
      <c r="B19" s="13" t="n">
        <v>5</v>
      </c>
    </row>
    <row r="21">
      <c r="A21" s="15" t="inlineStr">
        <is>
          <t>Outputs: projected costs</t>
        </is>
      </c>
      <c r="B21" s="16" t="n"/>
      <c r="C21" s="16" t="n"/>
      <c r="D21" s="16" t="n"/>
      <c r="E21" s="16" t="n"/>
      <c r="F21" s="16" t="n"/>
      <c r="G21" s="16" t="n"/>
    </row>
    <row r="22">
      <c r="B22" s="4" t="inlineStr">
        <is>
          <t>Cost per yard</t>
        </is>
      </c>
      <c r="D22" s="4" t="inlineStr">
        <is>
          <t>Cost per hour</t>
        </is>
      </c>
      <c r="E22" s="4" t="inlineStr">
        <is>
          <t>Cost per hoodie</t>
        </is>
      </c>
      <c r="G22" s="4" t="inlineStr">
        <is>
          <t>Recycled premium</t>
        </is>
      </c>
    </row>
    <row r="23">
      <c r="A23" s="17" t="inlineStr">
        <is>
          <t>Years from now</t>
        </is>
      </c>
      <c r="B23" s="18" t="inlineStr">
        <is>
          <t>Cotton</t>
        </is>
      </c>
      <c r="C23" s="18" t="inlineStr">
        <is>
          <t>Recycled</t>
        </is>
      </c>
      <c r="D23" s="18" t="inlineStr">
        <is>
          <t>Labor</t>
        </is>
      </c>
      <c r="E23" s="18" t="inlineStr">
        <is>
          <t>Cotton</t>
        </is>
      </c>
      <c r="F23" s="18" t="inlineStr">
        <is>
          <t>Recycled</t>
        </is>
      </c>
      <c r="G23" s="18" t="inlineStr">
        <is>
          <t>(Recycled − Cotton)</t>
        </is>
      </c>
    </row>
    <row r="24">
      <c r="A24" s="19" t="n">
        <v>0</v>
      </c>
      <c r="B24" s="57">
        <f>B$11*(1+B$12)^$A24</f>
        <v/>
      </c>
      <c r="C24" s="57">
        <f>C$11*(1+C$12)^$A24</f>
        <v/>
      </c>
      <c r="D24" s="57">
        <f>$B$15*(1+$B$16)^$A24</f>
        <v/>
      </c>
      <c r="E24" s="57">
        <f>B$7*B24+B$8*$D24+$B$19</f>
        <v/>
      </c>
      <c r="F24" s="57">
        <f>C$7*C24+C$8*$D24+$B$19</f>
        <v/>
      </c>
      <c r="G24" s="57">
        <f>F24-E24</f>
        <v/>
      </c>
    </row>
    <row r="25">
      <c r="A25" s="19" t="n">
        <v>1</v>
      </c>
      <c r="B25" s="57">
        <f>B$11*(1+B$12)^$A25</f>
        <v/>
      </c>
      <c r="C25" s="57">
        <f>C$11*(1+C$12)^$A25</f>
        <v/>
      </c>
      <c r="D25" s="57">
        <f>$B$15*(1+$B$16)^$A25</f>
        <v/>
      </c>
      <c r="E25" s="57">
        <f>B$7*B25+B$8*$D25+$B$19</f>
        <v/>
      </c>
      <c r="F25" s="57">
        <f>C$7*C25+C$8*$D25+$B$19</f>
        <v/>
      </c>
      <c r="G25" s="57">
        <f>F25-E25</f>
        <v/>
      </c>
    </row>
    <row r="26">
      <c r="A26" s="19" t="n">
        <v>2</v>
      </c>
      <c r="B26" s="57">
        <f>B$11*(1+B$12)^$A26</f>
        <v/>
      </c>
      <c r="C26" s="57">
        <f>C$11*(1+C$12)^$A26</f>
        <v/>
      </c>
      <c r="D26" s="57">
        <f>$B$15*(1+$B$16)^$A26</f>
        <v/>
      </c>
      <c r="E26" s="57">
        <f>B$7*B26+B$8*$D26+$B$19</f>
        <v/>
      </c>
      <c r="F26" s="57">
        <f>C$7*C26+C$8*$D26+$B$19</f>
        <v/>
      </c>
      <c r="G26" s="57">
        <f>F26-E26</f>
        <v/>
      </c>
    </row>
    <row r="27">
      <c r="A27" s="19" t="n">
        <v>3</v>
      </c>
      <c r="B27" s="57">
        <f>B$11*(1+B$12)^$A27</f>
        <v/>
      </c>
      <c r="C27" s="57">
        <f>C$11*(1+C$12)^$A27</f>
        <v/>
      </c>
      <c r="D27" s="57">
        <f>$B$15*(1+$B$16)^$A27</f>
        <v/>
      </c>
      <c r="E27" s="57">
        <f>B$7*B27+B$8*$D27+$B$19</f>
        <v/>
      </c>
      <c r="F27" s="57">
        <f>C$7*C27+C$8*$D27+$B$19</f>
        <v/>
      </c>
      <c r="G27" s="57">
        <f>F27-E27</f>
        <v/>
      </c>
    </row>
    <row r="28">
      <c r="A28" s="19" t="n">
        <v>4</v>
      </c>
      <c r="B28" s="57">
        <f>B$11*(1+B$12)^$A28</f>
        <v/>
      </c>
      <c r="C28" s="57">
        <f>C$11*(1+C$12)^$A28</f>
        <v/>
      </c>
      <c r="D28" s="57">
        <f>$B$15*(1+$B$16)^$A28</f>
        <v/>
      </c>
      <c r="E28" s="57">
        <f>B$7*B28+B$8*$D28+$B$19</f>
        <v/>
      </c>
      <c r="F28" s="57">
        <f>C$7*C28+C$8*$D28+$B$19</f>
        <v/>
      </c>
      <c r="G28" s="57">
        <f>F28-E28</f>
        <v/>
      </c>
    </row>
    <row r="29">
      <c r="A29" s="19" t="n">
        <v>5</v>
      </c>
      <c r="B29" s="57">
        <f>B$11*(1+B$12)^$A29</f>
        <v/>
      </c>
      <c r="C29" s="57">
        <f>C$11*(1+C$12)^$A29</f>
        <v/>
      </c>
      <c r="D29" s="57">
        <f>$B$15*(1+$B$16)^$A29</f>
        <v/>
      </c>
      <c r="E29" s="57">
        <f>B$7*B29+B$8*$D29+$B$19</f>
        <v/>
      </c>
      <c r="F29" s="57">
        <f>C$7*C29+C$8*$D29+$B$19</f>
        <v/>
      </c>
      <c r="G29" s="57">
        <f>F29-E29</f>
        <v/>
      </c>
    </row>
    <row r="31" ht="34" customHeight="1">
      <c r="A31" s="21" t="inlineStr">
        <is>
          <t>What-if: wages grow 6.0% a year instead of 3.5% (cell B16). What does one Cotton hoodie cost in year 5?</t>
        </is>
      </c>
      <c r="E31" s="58" t="n">
        <v>30.66</v>
      </c>
      <c r="F31" s="23" t="n"/>
      <c r="G31" s="23" t="n"/>
      <c r="H31" s="23" t="n"/>
    </row>
    <row r="32">
      <c r="A32" s="24" t="inlineStr">
        <is>
          <t>Type the number in E31 (do not link it), then set B16 back to 3.5%.</t>
        </is>
      </c>
      <c r="B32" s="23" t="n"/>
      <c r="C32" s="23" t="n"/>
      <c r="D32" s="23" t="n"/>
      <c r="E32" s="23" t="n"/>
      <c r="F32" s="23" t="n"/>
      <c r="G32" s="23" t="n"/>
      <c r="H32" s="23" t="n"/>
    </row>
    <row r="33">
      <c r="A33" s="23" t="n"/>
      <c r="B33" s="23" t="n"/>
      <c r="C33" s="23" t="n"/>
      <c r="D33" s="23" t="n"/>
      <c r="E33" s="23" t="n"/>
      <c r="F33" s="23" t="n"/>
      <c r="G33" s="23" t="n"/>
      <c r="H33" s="23" t="n"/>
    </row>
    <row r="34">
      <c r="A34" s="25" t="inlineStr">
        <is>
          <t>Steps (Part A)</t>
        </is>
      </c>
      <c r="B34" s="23" t="n"/>
      <c r="C34" s="23" t="n"/>
      <c r="D34" s="23" t="n"/>
      <c r="E34" s="23" t="n"/>
      <c r="F34" s="23" t="n"/>
      <c r="G34" s="23" t="n"/>
      <c r="H34" s="23" t="n"/>
    </row>
    <row r="35" ht="50.5" customHeight="1">
      <c r="A35" s="26" t="inlineStr">
        <is>
          <t>1.  In B24, write the Cotton cost per yard for year 0: cost today x (1 + annual increase) ^ years. Use $ signs so it copies right to C24 and down to row 29 (same pattern as B19 in the Bookshelf case). Copy it to B24:C29.
      Check: B24 = $6.00, C24 = $7.75, B25 = $6.27</t>
        </is>
      </c>
      <c r="H35" s="23" t="n"/>
    </row>
    <row r="36" ht="50.5" customHeight="1">
      <c r="A36" s="26" t="inlineStr">
        <is>
          <t>2.  In D24, write the Labor cost per hour and copy it down to D29. Labor has one rate for both hoodies, so lock both the column and the row of its inputs.
      Check: D24 = $16.00, D25 = $16.56</t>
        </is>
      </c>
      <c r="H36" s="23" t="n"/>
    </row>
    <row r="37" ht="50.5" customHeight="1">
      <c r="A37" s="26" t="inlineStr">
        <is>
          <t>3.  In E24, write the cost of one Cotton hoodie: fabric yards x cost per yard + labor hours x cost per hour + printing &amp; trim. Write it so it copies right to F24 and down to row 29, then copy it to E24:F29.
      Check: E24 = $25.00, F24 = $26.15, E25 = $25.82</t>
        </is>
      </c>
      <c r="H37" s="23" t="n"/>
    </row>
    <row r="38" ht="50.5" customHeight="1">
      <c r="A38" s="26" t="inlineStr">
        <is>
          <t>4.  In G24, write Recycled premium = Recycled cost minus Cotton cost and copy it down to G29. A negative value means Recycled is cheaper.
      Check: G24 = $1.15</t>
        </is>
      </c>
      <c r="H38" s="23" t="n"/>
    </row>
    <row r="39" ht="50.5" customHeight="1">
      <c r="A39" s="26" t="inlineStr">
        <is>
          <t>5.  Chart: select A23:A29, hold Ctrl (Cmd on a Mac), select E23:F29, then Insert &gt; Scatter &gt; Scatter with Straight Lines and Markers. Add a chart title and both axis titles. Place it to the right of the table, near cell I5.
      Check: two lines that cross</t>
        </is>
      </c>
      <c r="H39" s="23" t="n"/>
    </row>
    <row r="40" ht="35" customHeight="1">
      <c r="A40" s="26" t="inlineStr">
        <is>
          <t>6.  Audit: Formulas &gt; Show Formulas. Every cell in B24:G29 must show a formula, never a typed number. Click Show Formulas again to switch back.</t>
        </is>
      </c>
      <c r="H40" s="23" t="n"/>
    </row>
    <row r="41" ht="19.5" customHeight="1">
      <c r="A41" s="27" t="inlineStr">
        <is>
          <t>7.  Answer the what-if in row 31.</t>
        </is>
      </c>
    </row>
  </sheetData>
  <mergeCells count="9">
    <mergeCell ref="A36:G36"/>
    <mergeCell ref="A31:D31"/>
    <mergeCell ref="A40:G40"/>
    <mergeCell ref="A2:H2"/>
    <mergeCell ref="A39:G39"/>
    <mergeCell ref="A35:G35"/>
    <mergeCell ref="A38:G38"/>
    <mergeCell ref="A41:G41"/>
    <mergeCell ref="A37:G37"/>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2F5597"/>
    <outlinePr summaryBelow="1" summaryRight="1"/>
    <pageSetUpPr fitToPage="1"/>
  </sheetPr>
  <dimension ref="A1:L35"/>
  <sheetViews>
    <sheetView showGridLines="0" workbookViewId="0">
      <selection activeCell="A1" sqref="A1"/>
    </sheetView>
  </sheetViews>
  <sheetFormatPr baseColWidth="8" defaultRowHeight="15"/>
  <cols>
    <col width="46" customWidth="1" min="1" max="1"/>
    <col width="12" customWidth="1" min="2" max="2"/>
    <col width="3" customWidth="1" min="3" max="3"/>
    <col width="44" customWidth="1" min="4" max="4"/>
    <col width="13" customWidth="1" min="5" max="5"/>
    <col width="3" customWidth="1" min="6" max="6"/>
    <col width="20" customWidth="1" min="7" max="7"/>
    <col width="13" customWidth="1" min="8" max="8"/>
    <col width="13" customWidth="1" min="9" max="9"/>
    <col width="13" customWidth="1" min="10" max="10"/>
    <col width="13" customWidth="1" min="11" max="11"/>
    <col width="13" customWidth="1" min="12" max="12"/>
  </cols>
  <sheetData>
    <row r="1" ht="28" customHeight="1">
      <c r="A1" s="1" t="inlineStr">
        <is>
          <t>Part B · Campus Threads Co.: Instagram ad campaign break-even</t>
        </is>
      </c>
      <c r="B1" s="2" t="n"/>
      <c r="C1" s="2" t="n"/>
      <c r="D1" s="2" t="n"/>
      <c r="E1" s="2" t="n"/>
      <c r="F1" s="2" t="n"/>
      <c r="G1" s="2" t="n"/>
      <c r="H1" s="2" t="n"/>
      <c r="I1" s="2" t="n"/>
      <c r="J1" s="2" t="n"/>
      <c r="K1" s="2" t="n"/>
      <c r="L1" s="2" t="n"/>
    </row>
    <row r="2" ht="34" customHeight="1">
      <c r="A2" s="3" t="inlineStr">
        <is>
          <t>The owner plans to buy Instagram clicks to sell hoodies online. Will the campaign make money, and how easily could the profit disappear? Build every yellow cell with your own formulas. Blue = given input. Red = the decision (how many clicks to buy).</t>
        </is>
      </c>
    </row>
    <row r="3">
      <c r="A3" s="4" t="inlineStr">
        <is>
          <t>Color key</t>
        </is>
      </c>
      <c r="B3" s="5" t="inlineStr">
        <is>
          <t>Input (given)</t>
        </is>
      </c>
      <c r="E3" s="28" t="inlineStr">
        <is>
          <t>Decision</t>
        </is>
      </c>
      <c r="G3" s="6" t="inlineStr">
        <is>
          <t>You fill this</t>
        </is>
      </c>
    </row>
    <row r="5">
      <c r="A5" s="7" t="inlineStr">
        <is>
          <t>Campaign inputs</t>
        </is>
      </c>
      <c r="B5" s="8" t="n"/>
      <c r="D5" s="7" t="inlineStr">
        <is>
          <t>Model of orders</t>
        </is>
      </c>
      <c r="E5" s="8" t="n"/>
      <c r="G5" s="29" t="inlineStr">
        <is>
          <t>Table 1: profit vs number of clicks (one-way data table)</t>
        </is>
      </c>
    </row>
    <row r="6">
      <c r="A6" s="10" t="inlineStr">
        <is>
          <t>Fixed cost of campaign (photo shoot, design)</t>
        </is>
      </c>
      <c r="B6" s="30" t="n">
        <v>6300</v>
      </c>
      <c r="D6" s="10" t="inlineStr">
        <is>
          <t>Conversion rate (share of clicks that become orders)</t>
        </is>
      </c>
      <c r="E6" s="14" t="n">
        <v>0.04</v>
      </c>
      <c r="G6" s="17" t="inlineStr">
        <is>
          <t>Clicks purchased</t>
        </is>
      </c>
      <c r="H6" s="18" t="inlineStr">
        <is>
          <t>Profit</t>
        </is>
      </c>
    </row>
    <row r="7">
      <c r="A7" s="10" t="inlineStr">
        <is>
          <t>Cost per click</t>
        </is>
      </c>
      <c r="B7" s="13" t="n">
        <v>0.7</v>
      </c>
      <c r="D7" s="10" t="inlineStr">
        <is>
          <t>Number of orders</t>
        </is>
      </c>
      <c r="E7" s="31">
        <f>B10*E6</f>
        <v/>
      </c>
      <c r="G7" s="32" t="n"/>
      <c r="H7" s="59">
        <f>E15</f>
        <v/>
      </c>
    </row>
    <row r="8">
      <c r="G8" s="34" t="n">
        <v>5000</v>
      </c>
      <c r="H8" s="59">
        <f t="dataTable" ref="H8:H15" r1="B10"/>
        <v>-4200</v>
      </c>
    </row>
    <row r="9">
      <c r="A9" s="35" t="inlineStr">
        <is>
          <t>Decision variable</t>
        </is>
      </c>
      <c r="B9" s="36" t="n"/>
      <c r="D9" s="15" t="inlineStr">
        <is>
          <t>Outputs: revenue, costs, and profit</t>
        </is>
      </c>
      <c r="E9" s="16" t="n"/>
      <c r="G9" s="34" t="n">
        <v>10000</v>
      </c>
      <c r="H9" s="59" t="n">
        <v>-2100</v>
      </c>
    </row>
    <row r="10">
      <c r="A10" s="10" t="inlineStr">
        <is>
          <t>Number of clicks purchased</t>
        </is>
      </c>
      <c r="B10" s="37" t="n">
        <v>25000</v>
      </c>
      <c r="D10" s="10" t="inlineStr">
        <is>
          <t>Total revenue</t>
        </is>
      </c>
      <c r="E10" s="57">
        <f>E7*B13</f>
        <v/>
      </c>
      <c r="G10" s="34" t="n">
        <v>15000</v>
      </c>
      <c r="H10" s="59" t="n">
        <v>0</v>
      </c>
    </row>
    <row r="11">
      <c r="D11" s="10" t="inlineStr">
        <is>
          <t>Fixed cost of campaign</t>
        </is>
      </c>
      <c r="E11" s="57">
        <f>B6</f>
        <v/>
      </c>
      <c r="G11" s="34" t="n">
        <v>20000</v>
      </c>
      <c r="H11" s="59" t="n">
        <v>2100</v>
      </c>
    </row>
    <row r="12">
      <c r="A12" s="7" t="inlineStr">
        <is>
          <t>Order inputs</t>
        </is>
      </c>
      <c r="B12" s="8" t="n"/>
      <c r="D12" s="10" t="inlineStr">
        <is>
          <t>Total cost of clicks</t>
        </is>
      </c>
      <c r="E12" s="57">
        <f>B7*B10</f>
        <v/>
      </c>
      <c r="G12" s="34" t="n">
        <v>25000</v>
      </c>
      <c r="H12" s="59" t="n">
        <v>4200</v>
      </c>
    </row>
    <row r="13">
      <c r="A13" s="10" t="inlineStr">
        <is>
          <t>Average order</t>
        </is>
      </c>
      <c r="B13" s="13" t="n">
        <v>60</v>
      </c>
      <c r="D13" s="10" t="inlineStr">
        <is>
          <t>Total variable cost of orders</t>
        </is>
      </c>
      <c r="E13" s="57">
        <f>B14*E7</f>
        <v/>
      </c>
      <c r="G13" s="34" t="n">
        <v>30000</v>
      </c>
      <c r="H13" s="59" t="n">
        <v>6300</v>
      </c>
    </row>
    <row r="14">
      <c r="A14" s="10" t="inlineStr">
        <is>
          <t>Variable cost per order (hoodie + shipping + fees)</t>
        </is>
      </c>
      <c r="B14" s="13" t="n">
        <v>32</v>
      </c>
      <c r="D14" s="10" t="inlineStr">
        <is>
          <t>Total cost</t>
        </is>
      </c>
      <c r="E14" s="57">
        <f>SUM(E11:E13)</f>
        <v/>
      </c>
      <c r="G14" s="34" t="n">
        <v>35000</v>
      </c>
      <c r="H14" s="59" t="n">
        <v>8400</v>
      </c>
    </row>
    <row r="15">
      <c r="D15" s="4" t="inlineStr">
        <is>
          <t>Profit</t>
        </is>
      </c>
      <c r="E15" s="60">
        <f>E10-E14</f>
        <v/>
      </c>
      <c r="G15" s="34" t="n">
        <v>40000</v>
      </c>
      <c r="H15" s="59" t="n">
        <v>10500</v>
      </c>
    </row>
    <row r="17">
      <c r="D17" s="15" t="inlineStr">
        <is>
          <t>Outputs: break-even analysis</t>
        </is>
      </c>
      <c r="E17" s="16" t="n"/>
    </row>
    <row r="18">
      <c r="D18" s="10" t="inlineStr">
        <is>
          <t>Margin per order</t>
        </is>
      </c>
      <c r="E18" s="57">
        <f>B13-B14</f>
        <v/>
      </c>
      <c r="G18" s="29" t="inlineStr">
        <is>
          <t>Table 2: profit for conversion rate (down) × clicks (across), two-way data table</t>
        </is>
      </c>
    </row>
    <row r="19">
      <c r="D19" s="10" t="inlineStr">
        <is>
          <t>Contribution per click</t>
        </is>
      </c>
      <c r="E19" s="57">
        <f>E6*E18-B7</f>
        <v/>
      </c>
      <c r="G19" s="59">
        <f>E15</f>
        <v/>
      </c>
      <c r="H19" s="40" t="n">
        <v>10000</v>
      </c>
      <c r="I19" s="40" t="n">
        <v>15000</v>
      </c>
      <c r="J19" s="40" t="n">
        <v>25000</v>
      </c>
      <c r="K19" s="40" t="n">
        <v>40000</v>
      </c>
      <c r="L19" s="40" t="n">
        <v>60000</v>
      </c>
    </row>
    <row r="20">
      <c r="D20" s="10" t="inlineStr">
        <is>
          <t>Break-even number of clicks</t>
        </is>
      </c>
      <c r="E20" s="31">
        <f>B6/E19</f>
        <v/>
      </c>
      <c r="G20" s="41" t="n">
        <v>0.02</v>
      </c>
      <c r="H20" s="59">
        <f t="dataTable" ref="H20:L24" dt2D="1" dtr="1" r1="B10" r2="E6"/>
        <v>-7700</v>
      </c>
      <c r="I20" s="59" t="n">
        <v>-8400</v>
      </c>
      <c r="J20" s="59" t="n">
        <v>-9800</v>
      </c>
      <c r="K20" s="59" t="n">
        <v>-11900</v>
      </c>
      <c r="L20" s="59" t="n">
        <v>-14700</v>
      </c>
    </row>
    <row r="21">
      <c r="D21" s="10" t="inlineStr">
        <is>
          <t>Break-even conversion rate</t>
        </is>
      </c>
      <c r="E21" s="42">
        <f>(B6+E12)/(B10*E18)</f>
        <v/>
      </c>
      <c r="G21" s="41" t="n">
        <v>0.03</v>
      </c>
      <c r="H21" s="59" t="n">
        <v>-4900</v>
      </c>
      <c r="I21" s="59" t="n">
        <v>-4200</v>
      </c>
      <c r="J21" s="59" t="n">
        <v>-2800</v>
      </c>
      <c r="K21" s="59" t="n">
        <v>-700</v>
      </c>
      <c r="L21" s="59" t="n">
        <v>2100</v>
      </c>
    </row>
    <row r="22">
      <c r="D22" s="10" t="inlineStr">
        <is>
          <t>Break-even average order</t>
        </is>
      </c>
      <c r="E22" s="57">
        <f>B14+(B6+E12)/E7</f>
        <v/>
      </c>
      <c r="G22" s="41" t="n">
        <v>0.04</v>
      </c>
      <c r="H22" s="59" t="n">
        <v>-2100</v>
      </c>
      <c r="I22" s="59" t="n">
        <v>0</v>
      </c>
      <c r="J22" s="59" t="n">
        <v>4200</v>
      </c>
      <c r="K22" s="59" t="n">
        <v>10500</v>
      </c>
      <c r="L22" s="59" t="n">
        <v>18900</v>
      </c>
    </row>
    <row r="23">
      <c r="G23" s="41" t="n">
        <v>0.05</v>
      </c>
      <c r="H23" s="59" t="n">
        <v>700</v>
      </c>
      <c r="I23" s="59" t="n">
        <v>4200</v>
      </c>
      <c r="J23" s="59" t="n">
        <v>11200</v>
      </c>
      <c r="K23" s="59" t="n">
        <v>21700</v>
      </c>
      <c r="L23" s="59" t="n">
        <v>35700</v>
      </c>
    </row>
    <row r="24">
      <c r="D24" s="23" t="n"/>
      <c r="E24" s="23" t="n"/>
      <c r="G24" s="41" t="n">
        <v>0.06</v>
      </c>
      <c r="H24" s="59" t="n">
        <v>3500</v>
      </c>
      <c r="I24" s="59" t="n">
        <v>8400</v>
      </c>
      <c r="J24" s="59" t="n">
        <v>18200</v>
      </c>
      <c r="K24" s="59" t="n">
        <v>32900</v>
      </c>
      <c r="L24" s="59" t="n">
        <v>52500</v>
      </c>
    </row>
    <row r="25" ht="34" customHeight="1">
      <c r="A25" s="43" t="inlineStr">
        <is>
          <t>What-if: cost per click rises to $0.90 (cell B7). What is the profit?</t>
        </is>
      </c>
      <c r="B25" s="60" t="n">
        <v>-800</v>
      </c>
      <c r="D25" s="23" t="n"/>
      <c r="E25" s="23" t="n"/>
    </row>
    <row r="26">
      <c r="A26" s="44" t="inlineStr">
        <is>
          <t>Type the number in B25 (do not link it), then set B7 back to $0.70.</t>
        </is>
      </c>
      <c r="D26" s="23" t="n"/>
      <c r="E26" s="23" t="n"/>
      <c r="G26" s="23" t="n"/>
      <c r="H26" s="23" t="n"/>
      <c r="I26" s="23" t="n"/>
      <c r="J26" s="23" t="n"/>
      <c r="K26" s="23" t="n"/>
      <c r="L26" s="23" t="n"/>
    </row>
    <row r="27">
      <c r="D27" s="23" t="n"/>
      <c r="E27" s="23" t="n"/>
    </row>
    <row r="28">
      <c r="A28" s="45" t="inlineStr">
        <is>
          <t>Steps (Part B)</t>
        </is>
      </c>
      <c r="D28" s="23" t="n"/>
      <c r="E28" s="23" t="n"/>
    </row>
    <row r="29" ht="19.5" customHeight="1">
      <c r="A29" s="27" t="inlineStr">
        <is>
          <t>1.  In E7, write Number of orders = number of clicks x conversion rate.</t>
        </is>
      </c>
    </row>
    <row r="30" ht="50.5" customHeight="1">
      <c r="A30" s="27" t="inlineStr">
        <is>
          <t>2.  Fill E10 to E15. Total revenue = orders x average order. Fixed cost = a link to B6. Total cost of clicks = cost per click x clicks. Total variable cost of orders = variable cost per order x orders. Total cost = the sum of the three costs. Profit = revenue minus total cost.
      Check: E10 = $60,000, E12 = $17,500</t>
        </is>
      </c>
    </row>
    <row r="31" ht="66" customHeight="1">
      <c r="A31" s="27" t="inlineStr">
        <is>
          <t>3.  Fill the break-even block E18 to E22. Margin per order = average order minus variable cost per order. Contribution per click = conversion rate x margin per order minus cost per click. Break-even clicks = fixed cost / contribution per click. Break-even conversion rate = (fixed cost + total cost of clicks) / (clicks x margin per order). Break-even average order = variable cost per order + (fixed cost + total cost of clicks) / orders.
      Check: E18 = $28.00, E19 = $0.42</t>
        </is>
      </c>
    </row>
    <row r="32" ht="35" customHeight="1">
      <c r="A32" s="27" t="inlineStr">
        <is>
          <t>4.  Confirm break-even clicks with Goal Seek: Data &gt; What-If Analysis &gt; Goal Seek. Set cell E15, To value 0, By changing cell B10. B10 should now equal E20. Then type 25000 back into B10.
      Check: B10 = 25,000 again</t>
        </is>
      </c>
    </row>
    <row r="33" ht="35" customHeight="1">
      <c r="A33" s="27" t="inlineStr">
        <is>
          <t>5.  Table 1: in H7 type =E15. Select G7:H15, then Data &gt; What-If Analysis &gt; Data Table. Leave Row input cell empty; Column input cell: B10.
      Check: the 10,000 row shows -$2,100, and the 25,000 row equals E15</t>
        </is>
      </c>
    </row>
    <row r="34" ht="35" customHeight="1">
      <c r="A34" s="27" t="inlineStr">
        <is>
          <t>6.  Table 2: in G19 type =E15. Select G19:L24, then Data Table. Row input cell: B10 (clicks run across the top). Column input cell: E6 (conversion rates run down the side).
      Check: 5% and 10,000 shows $700, and 4% and 25,000 equals E15</t>
        </is>
      </c>
    </row>
    <row r="35" ht="19.5" customHeight="1">
      <c r="A35" s="27" t="inlineStr">
        <is>
          <t>7.  Answer the what-if in row 25. Before you move on, confirm B7 = $0.70, B10 = 25,000, B13 = $60.00 and E6 = 4.0%.</t>
        </is>
      </c>
    </row>
  </sheetData>
  <mergeCells count="8">
    <mergeCell ref="A30:L30"/>
    <mergeCell ref="A2:L2"/>
    <mergeCell ref="A29:L29"/>
    <mergeCell ref="A33:L33"/>
    <mergeCell ref="A32:L32"/>
    <mergeCell ref="A31:L31"/>
    <mergeCell ref="A34:L34"/>
    <mergeCell ref="A35:L35"/>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7030A0"/>
    <outlinePr summaryBelow="1" summaryRight="1"/>
    <pageSetUpPr fitToPage="1"/>
  </sheetPr>
  <dimension ref="A1:F31"/>
  <sheetViews>
    <sheetView showGridLines="0" workbookViewId="0">
      <selection activeCell="A1" sqref="A1"/>
    </sheetView>
  </sheetViews>
  <sheetFormatPr baseColWidth="8" defaultRowHeight="15"/>
  <cols>
    <col width="6" customWidth="1" min="1" max="1"/>
    <col width="36" customWidth="1" min="2" max="2"/>
    <col width="36" customWidth="1" min="3" max="3"/>
    <col width="20" customWidth="1" min="4" max="4"/>
    <col width="12" customWidth="1" min="5" max="5"/>
    <col width="44" customWidth="1" min="6" max="6"/>
  </cols>
  <sheetData>
    <row r="1" ht="28" customHeight="1">
      <c r="A1" s="1" t="inlineStr">
        <is>
          <t>Part C · AI leadership report (RT-OC-QC prompt, verification, reflection)</t>
        </is>
      </c>
      <c r="B1" s="2" t="n"/>
      <c r="C1" s="2" t="n"/>
      <c r="D1" s="2" t="n"/>
      <c r="E1" s="2" t="n"/>
      <c r="F1" s="2" t="n"/>
    </row>
    <row r="2" ht="32" customHeight="1">
      <c r="A2" s="3" t="inlineStr">
        <is>
          <t>Fill every yellow box. Your AI tool writes the report on a new sheet named Leadership Summary. When you finish, save this one workbook and upload it in Canvas.</t>
        </is>
      </c>
    </row>
    <row r="3" ht="62" customHeight="1">
      <c r="A3" s="46" t="inlineStr">
        <is>
          <t>Before you start, save a backup copy of this file. Use Claude in Excel as shown in class. If you cannot open it, attach this workbook to Microsoft Copilot Chat (USF sign-in), paste the same prompt, then paste its report into a new sheet named Leadership Summary and copy your Part A chart onto it. The Leadership Summary must have: a 2 to 4 bullet bottom line, a small table of key numbers, at least one chart, and 2 or 3 recommended actions. Afterwards, check that the AI did not change your model (Cost Projection E24 still $25.00, Break-even B10 still 25,000).</t>
        </is>
      </c>
    </row>
    <row r="4">
      <c r="A4" s="29" t="inlineStr">
        <is>
          <t>1. Tool</t>
        </is>
      </c>
    </row>
    <row r="5" ht="30" customHeight="1">
      <c r="B5" s="61" t="inlineStr">
        <is>
          <t>Claude (Anthropic) via Claude Code - not Claude in Excel / Copilot</t>
        </is>
      </c>
      <c r="D5" s="54" t="inlineStr">
        <is>
          <t>Claude Sonnet 5.5</t>
        </is>
      </c>
      <c r="E5" s="50" t="n"/>
    </row>
    <row r="6">
      <c r="B6" s="61" t="inlineStr">
        <is>
          <t>Date I ran the prompt</t>
        </is>
      </c>
      <c r="D6" s="54" t="inlineStr">
        <is>
          <t>2026-10-13</t>
        </is>
      </c>
      <c r="E6" s="50" t="n"/>
    </row>
    <row r="8">
      <c r="A8" s="29" t="inlineStr">
        <is>
          <t>2. Build your RT-OC-QC prompt: one or two sentences in each yellow box, written for THIS case</t>
        </is>
      </c>
    </row>
    <row r="9">
      <c r="A9" s="48" t="inlineStr"/>
      <c r="B9" s="48" t="inlineStr">
        <is>
          <t>Part</t>
        </is>
      </c>
      <c r="C9" s="48" t="inlineStr">
        <is>
          <t>What it answers, with a tip</t>
        </is>
      </c>
      <c r="D9" s="48" t="inlineStr">
        <is>
          <t>Your wording for this case</t>
        </is>
      </c>
      <c r="E9" s="49" t="n"/>
      <c r="F9" s="50" t="n"/>
    </row>
    <row r="10" ht="95" customHeight="1">
      <c r="A10" s="51" t="inlineStr">
        <is>
          <t>R</t>
        </is>
      </c>
      <c r="B10" s="52" t="inlineStr">
        <is>
          <t>Role</t>
        </is>
      </c>
      <c r="C10" s="53" t="inlineStr">
        <is>
          <t>Who should the AI act as?
Example from class: "You are a business analyst."</t>
        </is>
      </c>
      <c r="D10" s="54" t="inlineStr">
        <is>
          <t>You are a business analyst advising the owner of Campus Threads Co., a small apparel company that sells hoodies to college students, who has no finance background.</t>
        </is>
      </c>
      <c r="E10" s="49" t="n"/>
      <c r="F10" s="50" t="n"/>
    </row>
    <row r="11" ht="95" customHeight="1">
      <c r="A11" s="51" t="inlineStr">
        <is>
          <t>T</t>
        </is>
      </c>
      <c r="B11" s="52" t="inlineStr">
        <is>
          <t>Task</t>
        </is>
      </c>
      <c r="C11" s="53" t="inlineStr">
        <is>
          <t>What exactly should it do?
Name the job in one sentence.</t>
        </is>
      </c>
      <c r="D11" s="54" t="inlineStr">
        <is>
          <t>Read my Cost Projection and Break-even sheets and write a leadership summary that answers two questions: (1) should we switch from cotton to recycled fabric, and (2) will the planned Instagram ad campaign make money and how easily could the profit disappear?</t>
        </is>
      </c>
      <c r="E11" s="49" t="n"/>
      <c r="F11" s="50" t="n"/>
    </row>
    <row r="12" ht="95" customHeight="1">
      <c r="A12" s="51" t="inlineStr">
        <is>
          <t>O</t>
        </is>
      </c>
      <c r="B12" s="52" t="inlineStr">
        <is>
          <t>Output</t>
        </is>
      </c>
      <c r="C12" s="53" t="inlineStr">
        <is>
          <t>What should come back, for whom, in what format, and where?
Audience, length, sections, visuals, and the sheet name 'Leadership Summary'.</t>
        </is>
      </c>
      <c r="D12" s="54" t="inlineStr">
        <is>
          <t>A new sheet named "Leadership Summary" for the owner, readable in two minutes: a 2-4 bullet bottom line, a small table of key numbers, at least one chart (cost per hoodie, cotton vs recycled, years 0-5), and 2-3 recommended actions, in plain English with $ and % formatting.</t>
        </is>
      </c>
      <c r="E12" s="49" t="n"/>
      <c r="F12" s="50" t="n"/>
    </row>
    <row r="13" ht="95" customHeight="1">
      <c r="A13" s="51" t="inlineStr">
        <is>
          <t>C</t>
        </is>
      </c>
      <c r="B13" s="52" t="inlineStr">
        <is>
          <t>Context</t>
        </is>
      </c>
      <c r="C13" s="53" t="inlineStr">
        <is>
          <t>What does it need to know about this business and this workbook?
Company, the two analyses, which sheets hold them, the decision leaders face.</t>
        </is>
      </c>
      <c r="D13" s="54" t="inlineStr">
        <is>
          <t>Hoodies sell for $60. Cost Projection (rows 24-29) projects cotton vs recycled cost per hoodie for 5 years (cotton fabric +4.5%/yr, recycled +1%/yr, labor +3.5%/yr). Break-even models a 25,000-click Instagram campaign: $6,300 fixed cost, $0.70/click, 4% conversion, $60 average order, $32 variable cost per order. Decisions: which fabric, and whether/how much to spend on ads.</t>
        </is>
      </c>
      <c r="E13" s="49" t="n"/>
      <c r="F13" s="50" t="n"/>
    </row>
    <row r="14" ht="95" customHeight="1">
      <c r="A14" s="51" t="inlineStr">
        <is>
          <t>QC</t>
        </is>
      </c>
      <c r="B14" s="52" t="inlineStr">
        <is>
          <t>Quality Control</t>
        </is>
      </c>
      <c r="C14" s="53" t="inlineStr">
        <is>
          <t>What rules keep the result honest?
Use only numbers from this workbook, show where each number came from, flag assumptions.</t>
        </is>
      </c>
      <c r="D14" s="54" t="inlineStr">
        <is>
          <t>Use only numbers that appear in this workbook and cite the sheet and cell for each. Do not change any cell in my existing sheets. Label every assumption (constant conversion rate, constant $5 printing, linear click-to-order model) and state limits of the model rather than guessing. If a number is not in the workbook, say so.</t>
        </is>
      </c>
      <c r="E14" s="49" t="n"/>
      <c r="F14" s="50" t="n"/>
    </row>
    <row r="16">
      <c r="A16" s="29" t="inlineStr">
        <is>
          <t>3. The full prompt exactly as I sent it (copy and paste)</t>
        </is>
      </c>
    </row>
    <row r="17" ht="260" customHeight="1">
      <c r="B17" s="54" t="inlineStr">
        <is>
          <t>ROLE: You are a business analyst advising the owner of Campus Threads Co., a small apparel company that sells hoodies to college students, who has no finance background.
TASK: Read my Cost Projection and Break-even sheets and write a leadership summary that answers two questions: (1) should we switch from cotton to recycled fabric, and (2) will the planned Instagram ad campaign make money and how easily could the profit disappear?
OUTPUT: A new sheet named "Leadership Summary" for the owner, readable in two minutes: a 2-4 bullet bottom line, a small table of key numbers, at least one chart (cost per hoodie, cotton vs recycled, years 0-5), and 2-3 recommended actions, in plain English with $ and % formatting.
CONTEXT: Hoodies sell for $60. Cost Projection (rows 24-29) projects cotton vs recycled cost per hoodie for 5 years (cotton fabric +4.5%/yr, recycled +1%/yr, labor +3.5%/yr). Break-even models a 25,000-click Instagram campaign: $6,300 fixed cost, $0.70/click, 4% conversion, $60 average order, $32 variable cost per order. Decisions: which fabric, and whether/how much to spend on ads.
QUALITY CONTROL: Use only numbers that appear in this workbook and cite the sheet and cell for each. Do not change any cell in my existing sheets. Label every assumption (constant conversion rate, constant $5 printing, linear click-to-order model) and state limits of the model rather than guessing. If a number is not in the workbook, say so.</t>
        </is>
      </c>
      <c r="C17" s="49" t="n"/>
      <c r="D17" s="49" t="n"/>
      <c r="E17" s="49" t="n"/>
      <c r="F17" s="50" t="n"/>
    </row>
    <row r="19">
      <c r="A19" s="29" t="inlineStr">
        <is>
          <t>4. Verification log: check THREE numbers from the AI report against your own model</t>
        </is>
      </c>
    </row>
    <row r="20" ht="32" customHeight="1">
      <c r="A20" s="55" t="inlineStr">
        <is>
          <t>#</t>
        </is>
      </c>
      <c r="B20" s="55" t="inlineStr">
        <is>
          <t>Number or claim in the AI report</t>
        </is>
      </c>
      <c r="C20" s="55" t="inlineStr">
        <is>
          <t>Where it lives in MY model (sheet + cell)</t>
        </is>
      </c>
      <c r="D20" s="55" t="inlineStr">
        <is>
          <t>Value in my model</t>
        </is>
      </c>
      <c r="E20" s="55" t="inlineStr">
        <is>
          <t>Match?</t>
        </is>
      </c>
      <c r="F20" s="55" t="inlineStr">
        <is>
          <t>If No: what was wrong and what did you do?</t>
        </is>
      </c>
    </row>
    <row r="21" ht="30" customHeight="1">
      <c r="A21" s="56" t="inlineStr">
        <is>
          <t>e.g.</t>
        </is>
      </c>
      <c r="B21" s="56" t="inlineStr">
        <is>
          <t>A cherry bookshelf costs $513.89 in 6 years</t>
        </is>
      </c>
      <c r="C21" s="56" t="inlineStr">
        <is>
          <t>Model!E25  (class example)</t>
        </is>
      </c>
      <c r="D21" s="56" t="inlineStr">
        <is>
          <t>$513.89</t>
        </is>
      </c>
      <c r="E21" s="56" t="inlineStr">
        <is>
          <t>Yes</t>
        </is>
      </c>
      <c r="F21" s="56" t="inlineStr">
        <is>
          <t>(example row from the class case; do not edit)</t>
        </is>
      </c>
    </row>
    <row r="22" ht="62" customHeight="1">
      <c r="A22" s="51" t="n">
        <v>1</v>
      </c>
      <c r="B22" s="54" t="inlineStr">
        <is>
          <t>Cotton cost per hoodie in year 5 is $29.46 and Recycled is $28.21 (Recycled about $1.24 cheaper)</t>
        </is>
      </c>
      <c r="C22" s="54" t="inlineStr">
        <is>
          <t>Cost Projection!E29 and F29</t>
        </is>
      </c>
      <c r="D22" s="54" t="inlineStr">
        <is>
          <t>$29.46 / $28.21</t>
        </is>
      </c>
      <c r="E22" s="54" t="inlineStr">
        <is>
          <t>Yes</t>
        </is>
      </c>
      <c r="F22" s="54" t="inlineStr">
        <is>
          <t>n/a - matched</t>
        </is>
      </c>
    </row>
    <row r="23" ht="62" customHeight="1">
      <c r="A23" s="51" t="n">
        <v>2</v>
      </c>
      <c r="B23" s="54" t="inlineStr">
        <is>
          <t>Campaign profit at 25,000 clicks is $4,200; the campaign breaks even at 15,000 clicks</t>
        </is>
      </c>
      <c r="C23" s="54" t="inlineStr">
        <is>
          <t>Break-even!E15 and E20</t>
        </is>
      </c>
      <c r="D23" s="54" t="inlineStr">
        <is>
          <t>$4,200 / 15,000</t>
        </is>
      </c>
      <c r="E23" s="54" t="inlineStr">
        <is>
          <t>Yes</t>
        </is>
      </c>
      <c r="F23" s="54" t="inlineStr">
        <is>
          <t>n/a - matched</t>
        </is>
      </c>
    </row>
    <row r="24" ht="62" customHeight="1">
      <c r="A24" s="51" t="n">
        <v>3</v>
      </c>
      <c r="B24" s="54" t="inlineStr">
        <is>
          <t>If cost per click rises to $0.90 the campaign loses $800</t>
        </is>
      </c>
      <c r="C24" s="54" t="inlineStr">
        <is>
          <t>Break-even!B25 (what-if answer; checked by setting B7 = 0.90, then restoring 0.70)</t>
        </is>
      </c>
      <c r="D24" s="54" t="inlineStr">
        <is>
          <t>-$800</t>
        </is>
      </c>
      <c r="E24" s="54" t="inlineStr">
        <is>
          <t>Yes</t>
        </is>
      </c>
      <c r="F24" s="54" t="inlineStr">
        <is>
          <t>n/a - matched</t>
        </is>
      </c>
    </row>
    <row r="26">
      <c r="A26" s="29" t="inlineStr">
        <is>
          <t>5. One thing the AI got wrong, overstated, or left out, and how you knew</t>
        </is>
      </c>
    </row>
    <row r="27">
      <c r="B27" s="44" t="inlineStr">
        <is>
          <t>If every number matched, name one limit of the model that the report should have mentioned to leaders.</t>
        </is>
      </c>
    </row>
    <row r="28" ht="125" customHeight="1">
      <c r="B28" s="54" t="inlineStr">
        <is>
          <t>Every checked number matched, but the report should have flagged an inconsistency between the sheets: Cost Projection puts a cotton hoodie at about $25 today, while the Break-even sheet uses a flat $32 variable cost per order (hoodie + shipping + fees) for all years, so the campaign profit is not linked to the fabric decision or to rising costs. Also the break-even margin is thin: profit is only $4,200 on $60,000 of revenue, and a drop in conversion from 4% to 3.4%, or $0.90 clicks, wipes it out. I knew by comparing the two sheets' cost inputs.</t>
        </is>
      </c>
      <c r="C28" s="49" t="n"/>
      <c r="D28" s="49" t="n"/>
      <c r="E28" s="49" t="n"/>
      <c r="F28" s="50" t="n"/>
    </row>
    <row r="30">
      <c r="A30" s="29" t="inlineStr">
        <is>
          <t>6. Reflection (1 or 2 sentences): which RT-OC-QC part improved the report the most, and why?</t>
        </is>
      </c>
    </row>
    <row r="31" ht="75" customHeight="1">
      <c r="B31" s="54" t="inlineStr">
        <is>
          <t>Context improved the report the most: giving the sheet names, key inputs and the two decisions let the AI answer the owner's actual questions instead of generic advice, and the Quality Control rule (cite sheet and cell, flag assumptions) made every number easy to check.</t>
        </is>
      </c>
      <c r="C31" s="49" t="n"/>
      <c r="D31" s="49" t="n"/>
      <c r="E31" s="49" t="n"/>
      <c r="F31" s="50" t="n"/>
    </row>
  </sheetData>
  <mergeCells count="15">
    <mergeCell ref="D6:E6"/>
    <mergeCell ref="B6:C6"/>
    <mergeCell ref="A2:F2"/>
    <mergeCell ref="D11:F11"/>
    <mergeCell ref="D13:F13"/>
    <mergeCell ref="D14:F14"/>
    <mergeCell ref="B5:C5"/>
    <mergeCell ref="B28:F28"/>
    <mergeCell ref="D5:E5"/>
    <mergeCell ref="D12:F12"/>
    <mergeCell ref="D9:F9"/>
    <mergeCell ref="B31:F31"/>
    <mergeCell ref="A3:F3"/>
    <mergeCell ref="B17:F17"/>
    <mergeCell ref="D10:F1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62" t="inlineStr">
        <is>
          <t>Leadership Summary · Campus Threads Co.</t>
        </is>
      </c>
      <c r="B1" s="2" t="n"/>
      <c r="C1" s="2" t="n"/>
      <c r="D1" s="2" t="n"/>
      <c r="E1" s="2" t="n"/>
      <c r="F1" s="2" t="n"/>
      <c r="G1" s="2" t="n"/>
      <c r="H1" s="2" t="n"/>
    </row>
    <row r="2" ht="30" customHeight="1">
      <c r="A2" s="63" t="inlineStr">
        <is>
          <t>For the owner: (1) switch to recycled fabric? (2) will the Instagram campaign make money? All numbers come from the Cost Projection and Break-even sheets.</t>
        </is>
      </c>
    </row>
    <row r="4">
      <c r="A4" s="64" t="inlineStr">
        <is>
          <t>Bottom line</t>
        </is>
      </c>
      <c r="B4" s="8" t="n"/>
      <c r="C4" s="8" t="n"/>
      <c r="D4" s="8" t="n"/>
      <c r="E4" s="8" t="n"/>
      <c r="F4" s="8" t="n"/>
      <c r="G4" s="8" t="n"/>
      <c r="H4" s="8" t="n"/>
    </row>
    <row r="5" ht="46" customHeight="1">
      <c r="A5" s="65" t="inlineStr">
        <is>
          <t>•  Recycled fabric costs more per hoodie at first ($26.15 vs $25.00 today) but becomes cheaper in year 3 and is $1.24 cheaper by year 5 ($28.21 vs $29.46), because cotton and labor costs rise faster than recycled fabric (Cost Projection rows 24-29).</t>
        </is>
      </c>
    </row>
    <row r="6" ht="46" customHeight="1">
      <c r="A6" s="65" t="inlineStr">
        <is>
          <t>•  The planned 25,000-click Instagram campaign should make money: profit is $4,200 (Break-even!E15), with break-even at 15,000 clicks (E20).</t>
        </is>
      </c>
    </row>
    <row r="7" ht="46" customHeight="1">
      <c r="A7" s="65" t="inlineStr">
        <is>
          <t>•  The campaign profit is thin: it disappears if conversion falls below 3.4%, the average order falls below $55.80, or cost per click reaches $0.90 (profit becomes -$800).</t>
        </is>
      </c>
    </row>
    <row r="8" ht="46" customHeight="1">
      <c r="A8" s="65" t="inlineStr">
        <is>
          <t>•  The recycled savings are small (about $1.24 per hoodie by year 5, roughly 4%), so the switch is a modest cost play, not a large one.</t>
        </is>
      </c>
    </row>
    <row r="10">
      <c r="A10" s="64" t="inlineStr">
        <is>
          <t>Key numbers (linked to the model)</t>
        </is>
      </c>
      <c r="B10" s="8" t="n"/>
      <c r="C10" s="8" t="n"/>
      <c r="D10" s="8" t="n"/>
      <c r="E10" s="8" t="n"/>
      <c r="F10" s="8" t="n"/>
      <c r="G10" s="8" t="n"/>
      <c r="H10" s="8" t="n"/>
    </row>
    <row r="11">
      <c r="A11" s="66" t="inlineStr">
        <is>
          <t>Measure</t>
        </is>
      </c>
      <c r="B11" s="66" t="inlineStr">
        <is>
          <t>Value</t>
        </is>
      </c>
      <c r="C11" s="66" t="inlineStr">
        <is>
          <t>Source</t>
        </is>
      </c>
    </row>
    <row r="12">
      <c r="A12" t="inlineStr">
        <is>
          <t>Cotton cost per hoodie, year 0</t>
        </is>
      </c>
      <c r="B12" s="67">
        <f>'Cost Projection'!E24</f>
        <v/>
      </c>
      <c r="C12" s="68" t="inlineStr">
        <is>
          <t>Cost Projection!E24</t>
        </is>
      </c>
    </row>
    <row r="13">
      <c r="A13" t="inlineStr">
        <is>
          <t>Recycled cost per hoodie, year 0</t>
        </is>
      </c>
      <c r="B13" s="67">
        <f>'Cost Projection'!F24</f>
        <v/>
      </c>
      <c r="C13" s="68" t="inlineStr">
        <is>
          <t>Cost Projection!F24</t>
        </is>
      </c>
    </row>
    <row r="14">
      <c r="A14" t="inlineStr">
        <is>
          <t>Cotton cost per hoodie, year 5</t>
        </is>
      </c>
      <c r="B14" s="67">
        <f>'Cost Projection'!E29</f>
        <v/>
      </c>
      <c r="C14" s="68" t="inlineStr">
        <is>
          <t>Cost Projection!E29</t>
        </is>
      </c>
    </row>
    <row r="15">
      <c r="A15" t="inlineStr">
        <is>
          <t>Recycled cost per hoodie, year 5</t>
        </is>
      </c>
      <c r="B15" s="67">
        <f>'Cost Projection'!F29</f>
        <v/>
      </c>
      <c r="C15" s="68" t="inlineStr">
        <is>
          <t>Cost Projection!F29</t>
        </is>
      </c>
    </row>
    <row r="16">
      <c r="A16" t="inlineStr">
        <is>
          <t>Recycled premium, year 5 (negative = cheaper)</t>
        </is>
      </c>
      <c r="B16" s="69">
        <f>'Cost Projection'!G29</f>
        <v/>
      </c>
      <c r="C16" s="68" t="inlineStr">
        <is>
          <t>Cost Projection!G29</t>
        </is>
      </c>
    </row>
    <row r="17">
      <c r="A17" t="inlineStr">
        <is>
          <t>Campaign profit at 25,000 clicks</t>
        </is>
      </c>
      <c r="B17" s="70">
        <f>'Break-even'!E15</f>
        <v/>
      </c>
      <c r="C17" s="68" t="inlineStr">
        <is>
          <t>Break-even!E15</t>
        </is>
      </c>
    </row>
    <row r="18">
      <c r="A18" t="inlineStr">
        <is>
          <t>Break-even clicks</t>
        </is>
      </c>
      <c r="B18" s="71">
        <f>'Break-even'!E20</f>
        <v/>
      </c>
      <c r="C18" s="68" t="inlineStr">
        <is>
          <t>Break-even!E20</t>
        </is>
      </c>
    </row>
    <row r="19">
      <c r="A19" t="inlineStr">
        <is>
          <t>Break-even conversion rate</t>
        </is>
      </c>
      <c r="B19" s="72">
        <f>'Break-even'!E21</f>
        <v/>
      </c>
      <c r="C19" s="68" t="inlineStr">
        <is>
          <t>Break-even!E21</t>
        </is>
      </c>
    </row>
    <row r="20">
      <c r="A20" t="inlineStr">
        <is>
          <t>Break-even average order</t>
        </is>
      </c>
      <c r="B20" s="67">
        <f>'Break-even'!E22</f>
        <v/>
      </c>
      <c r="C20" s="68" t="inlineStr">
        <is>
          <t>Break-even!E22</t>
        </is>
      </c>
    </row>
    <row r="23">
      <c r="A23" s="64" t="inlineStr">
        <is>
          <t>Charts</t>
        </is>
      </c>
      <c r="B23" s="8" t="n"/>
      <c r="C23" s="8" t="n"/>
      <c r="D23" s="8" t="n"/>
      <c r="E23" s="8" t="n"/>
      <c r="F23" s="8" t="n"/>
      <c r="G23" s="8" t="n"/>
      <c r="H23" s="8" t="n"/>
    </row>
    <row r="44">
      <c r="A44" s="64" t="inlineStr">
        <is>
          <t>Recommended actions</t>
        </is>
      </c>
      <c r="B44" s="8" t="n"/>
      <c r="C44" s="8" t="n"/>
      <c r="D44" s="8" t="n"/>
      <c r="E44" s="8" t="n"/>
      <c r="F44" s="8" t="n"/>
      <c r="G44" s="8" t="n"/>
      <c r="H44" s="8" t="n"/>
    </row>
    <row r="45" ht="46" customHeight="1">
      <c r="A45" s="65" t="inlineStr">
        <is>
          <t>1.  Run the campaign, but start near 25,000 clicks and track the conversion rate weekly; if it drops toward 3.4%, or cost per click nears $0.90, stop buying clicks.</t>
        </is>
      </c>
    </row>
    <row r="46" ht="46" customHeight="1">
      <c r="A46" s="65" t="inlineStr">
        <is>
          <t>2.  Switch to recycled fabric if the sustainability appeal helps sales: it is $1.24 cheaper per hoodie by year 5 (Cost Projection!G29), but costs more for the first three years (years 0-2), so budget for the early premium.</t>
        </is>
      </c>
    </row>
    <row r="47" ht="46" customHeight="1">
      <c r="A47" s="65" t="inlineStr">
        <is>
          <t>3.  Revisit the model before deciding: link the campaign's $32 variable cost to the fabric choice and test wage growth (at 6% a year a cotton hoodie costs $30.66 in year 5).</t>
        </is>
      </c>
    </row>
    <row r="49" ht="32" customHeight="1">
      <c r="A49" s="63" t="inlineStr">
        <is>
          <t>Assumptions: constant 4% conversion and $60 average order; printing &amp; trim fixed at $5; costs grow at the stated annual rates; no volume discounts, returns or repeat customers.</t>
        </is>
      </c>
    </row>
  </sheetData>
  <mergeCells count="9">
    <mergeCell ref="A45:H45"/>
    <mergeCell ref="A7:H7"/>
    <mergeCell ref="A2:H2"/>
    <mergeCell ref="A49:H49"/>
    <mergeCell ref="A47:H47"/>
    <mergeCell ref="A5:H5"/>
    <mergeCell ref="A46:H46"/>
    <mergeCell ref="A8:H8"/>
    <mergeCell ref="A6:H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2026-10-09T03:55:30Z</dcterms:created>
  <dcterms:modified xmlns:dcterms="http://purl.org/dc/terms/" xmlns:xsi="http://www.w3.org/2001/XMLSchema-instance" xsi:type="dcterms:W3CDTF">2026-10-13T18:57:53Z</dcterms:modified>
</cp:coreProperties>
</file>
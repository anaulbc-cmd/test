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naul\Downloads\"/>
    </mc:Choice>
  </mc:AlternateContent>
  <xr:revisionPtr revIDLastSave="0" documentId="13_ncr:1_{B0BB503A-2143-4E62-8983-CAB5576C4E90}" xr6:coauthVersionLast="47" xr6:coauthVersionMax="47" xr10:uidLastSave="{00000000-0000-0000-0000-000000000000}"/>
  <bookViews>
    <workbookView xWindow="-110" yWindow="-110" windowWidth="19420" windowHeight="11500" activeTab="2" xr2:uid="{00000000-000D-0000-FFFF-FFFF00000000}"/>
  </bookViews>
  <sheets>
    <sheet name="Cost Projection" sheetId="1" r:id="rId1"/>
    <sheet name="Break-even" sheetId="2" r:id="rId2"/>
    <sheet name="AI Report Log" sheetId="3" r:id="rId3"/>
    <sheet name="Leadership Summar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<sst xmlns="http://schemas.openxmlformats.org/spreadsheetml/2006/main" count="180" uniqueCount="160">
  <si>
    <t>Part A · Campus Threads Co.: projecting hoodie costs</t>
  </si>
  <si>
    <t>Campus Threads Co. sells hoodies to college students for $60. Should it switch from cotton to recycled fabric? Project what one hoodie costs to make for the next five years. Build every yellow cell with your own formulas (no AI in Parts A and B).</t>
  </si>
  <si>
    <t>Color key</t>
  </si>
  <si>
    <t>Input (given)</t>
  </si>
  <si>
    <t>You fill this</t>
  </si>
  <si>
    <t>Inputs</t>
  </si>
  <si>
    <t>Requirements per hoodie</t>
  </si>
  <si>
    <t>Cotton</t>
  </si>
  <si>
    <t>Recycled</t>
  </si>
  <si>
    <t>Fabric required (yards)</t>
  </si>
  <si>
    <t>Labor hours required</t>
  </si>
  <si>
    <t>Cost of fabric</t>
  </si>
  <si>
    <t>Current cost per yard</t>
  </si>
  <si>
    <t>Projected annual increase</t>
  </si>
  <si>
    <t>Cost of labor</t>
  </si>
  <si>
    <t>Current cost per labor hour</t>
  </si>
  <si>
    <t>Other cost</t>
  </si>
  <si>
    <t>Printing &amp; trim per hoodie (stays constant)</t>
  </si>
  <si>
    <t>Outputs: projected costs</t>
  </si>
  <si>
    <t>Cost per yard</t>
  </si>
  <si>
    <t>Cost per hour</t>
  </si>
  <si>
    <t>Cost per hoodie</t>
  </si>
  <si>
    <t>Recycled premium</t>
  </si>
  <si>
    <t>Years from now</t>
  </si>
  <si>
    <t>Labor</t>
  </si>
  <si>
    <t>(Recycled − Cotton)</t>
  </si>
  <si>
    <t>What-if: wages grow 6.0% a year instead of 3.5% (cell B16). What does one Cotton hoodie cost in year 5?</t>
  </si>
  <si>
    <t>Type the number in E31 (do not link it), then set B16 back to 3.5%.</t>
  </si>
  <si>
    <t>Steps (Part A)</t>
  </si>
  <si>
    <t>1.  In B24, write the Cotton cost per yard for year 0: cost today x (1 + annual increase) ^ years. Use $ signs so it copies right to C24 and down to row 29 (same pattern as B19 in the Bookshelf case). Copy it to B24:C29.
      Check: B24 = $6.00, C24 = $7.75, B25 = $6.27</t>
  </si>
  <si>
    <t>2.  In D24, write the Labor cost per hour and copy it down to D29. Labor has one rate for both hoodies, so lock both the column and the row of its inputs.
      Check: D24 = $16.00, D25 = $16.56</t>
  </si>
  <si>
    <t>3.  In E24, write the cost of one Cotton hoodie: fabric yards x cost per yard + labor hours x cost per hour + printing &amp; trim. Write it so it copies right to F24 and down to row 29, then copy it to E24:F29.
      Check: E24 = $25.00, F24 = $26.15, E25 = $25.82</t>
  </si>
  <si>
    <t>4.  In G24, write Recycled premium = Recycled cost minus Cotton cost and copy it down to G29. A negative value means Recycled is cheaper.
      Check: G24 = $1.15</t>
  </si>
  <si>
    <t>5.  Chart: select A23:A29, hold Ctrl (Cmd on a Mac), select E23:F29, then Insert &gt; Scatter &gt; Scatter with Straight Lines and Markers. Add a chart title and both axis titles. Place it to the right of the table, near cell I5.
      Check: two lines that cross</t>
  </si>
  <si>
    <t>6.  Audit: Formulas &gt; Show Formulas. Every cell in B24:G29 must show a formula, never a typed number. Click Show Formulas again to switch back.</t>
  </si>
  <si>
    <t>7.  Answer the what-if in row 31.</t>
  </si>
  <si>
    <t>Part B · Campus Threads Co.: Instagram ad campaign break-even</t>
  </si>
  <si>
    <t>The owner plans to buy Instagram clicks to sell hoodies online. Will the campaign make money, and how easily could the profit disappear? Build every yellow cell with your own formulas. Blue = given input. Red = the decision (how many clicks to buy).</t>
  </si>
  <si>
    <t>Decision</t>
  </si>
  <si>
    <t>Campaign inputs</t>
  </si>
  <si>
    <t>Model of orders</t>
  </si>
  <si>
    <t>Table 1: profit vs number of clicks (one-way data table)</t>
  </si>
  <si>
    <t>Fixed cost of campaign (photo shoot, design)</t>
  </si>
  <si>
    <t>Conversion rate (share of clicks that become orders)</t>
  </si>
  <si>
    <t>Clicks purchased</t>
  </si>
  <si>
    <t>Profit</t>
  </si>
  <si>
    <t>Cost per click</t>
  </si>
  <si>
    <t>Number of orders</t>
  </si>
  <si>
    <t>(nothing to type here)</t>
  </si>
  <si>
    <t>Decision variable</t>
  </si>
  <si>
    <t>Outputs: revenue, costs, and profit</t>
  </si>
  <si>
    <t>Number of clicks purchased</t>
  </si>
  <si>
    <t>Total revenue</t>
  </si>
  <si>
    <t>Fixed cost of campaign</t>
  </si>
  <si>
    <t>Order inputs</t>
  </si>
  <si>
    <t>Total cost of clicks</t>
  </si>
  <si>
    <t>Average order</t>
  </si>
  <si>
    <t>Total variable cost of orders</t>
  </si>
  <si>
    <t>Variable cost per order (hoodie + shipping + fees)</t>
  </si>
  <si>
    <t>Total cost</t>
  </si>
  <si>
    <t>Outputs: break-even analysis</t>
  </si>
  <si>
    <t>Margin per order</t>
  </si>
  <si>
    <t>Table 2: profit for conversion rate (down) × clicks (across), two-way data table</t>
  </si>
  <si>
    <t>Contribution per click</t>
  </si>
  <si>
    <t>Break-even number of clicks</t>
  </si>
  <si>
    <t>Break-even conversion rate</t>
  </si>
  <si>
    <t>Break-even average order</t>
  </si>
  <si>
    <t>What-if: cost per click rises to $0.90 (cell B7). What is the profit?</t>
  </si>
  <si>
    <t>Type the number in B25 (do not link it), then set B7 back to $0.70.</t>
  </si>
  <si>
    <t>Steps (Part B)</t>
  </si>
  <si>
    <t>1.  In E7, write Number of orders = number of clicks x conversion rate.</t>
  </si>
  <si>
    <t>2.  Fill E10 to E15. Total revenue = orders x average order. Fixed cost = a link to B6. Total cost of clicks = cost per click x clicks. Total variable cost of orders = variable cost per order x orders. Total cost = the sum of the three costs. Profit = revenue minus total cost.
      Check: E10 = $60,000, E12 = $17,500</t>
  </si>
  <si>
    <t>3.  Fill the break-even block E18 to E22. Margin per order = average order minus variable cost per order. Contribution per click = conversion rate x margin per order minus cost per click. Break-even clicks = fixed cost / contribution per click. Break-even conversion rate = (fixed cost + total cost of clicks) / (clicks x margin per order). Break-even average order = variable cost per order + (fixed cost + total cost of clicks) / orders.
      Check: E18 = $28.00, E19 = $0.42</t>
  </si>
  <si>
    <t>4.  Confirm break-even clicks with Goal Seek: Data &gt; What-If Analysis &gt; Goal Seek. Set cell E15, To value 0, By changing cell B10. B10 should now equal E20. Then type 25000 back into B10.
      Check: B10 = 25,000 again</t>
  </si>
  <si>
    <t>5.  Table 1: in H7 type =E15. Select G7:H15, then Data &gt; What-If Analysis &gt; Data Table. Leave Row input cell empty; Column input cell: B10.
      Check: the 10,000 row shows -$2,100, and the 25,000 row equals E15</t>
  </si>
  <si>
    <t>6.  Table 2: in G19 type =E15. Select G19:L24, then Data Table. Row input cell: B10 (clicks run across the top). Column input cell: E6 (conversion rates run down the side).
      Check: 5% and 10,000 shows $700, and 4% and 25,000 equals E15</t>
  </si>
  <si>
    <t>7.  Answer the what-if in row 25. Before you move on, confirm B7 = $0.70, B10 = 25,000, B13 = $60.00 and E6 = 4.0%.</t>
  </si>
  <si>
    <t>Part C · AI leadership report (RT-OC-QC prompt, verification, reflection)</t>
  </si>
  <si>
    <t>Fill every yellow box. Your AI tool writes the report on a new sheet named Leadership Summary. When you finish, save this one workbook and upload it in Canvas.</t>
  </si>
  <si>
    <t>Before you start, save a backup copy of this file. Use Claude in Excel as shown in class. If you cannot open it, attach this workbook to Microsoft Copilot Chat (USF sign-in), paste the same prompt, then paste its report into a new sheet named Leadership Summary and copy your Part A chart onto it. The Leadership Summary must have: a 2 to 4 bullet bottom line, a small table of key numbers, at least one chart, and 2 or 3 recommended actions. Afterwards, check that the AI did not change your model (Cost Projection E24 still $25.00, Break-even B10 still 25,000).</t>
  </si>
  <si>
    <t>1. Tool</t>
  </si>
  <si>
    <t>AI tool I used (Claude in Excel or Copilot Chat)</t>
  </si>
  <si>
    <t>Date I ran the prompt</t>
  </si>
  <si>
    <t>2. Build your RT-OC-QC prompt: one or two sentences in each yellow box, written for THIS case</t>
  </si>
  <si>
    <t>Part</t>
  </si>
  <si>
    <t>What it answers, with a tip</t>
  </si>
  <si>
    <t>Your wording for this case</t>
  </si>
  <si>
    <t>R</t>
  </si>
  <si>
    <t>Role</t>
  </si>
  <si>
    <t>Who should the AI act as?
Example from class: "You are a business analyst."</t>
  </si>
  <si>
    <t>T</t>
  </si>
  <si>
    <t>Task</t>
  </si>
  <si>
    <t>What exactly should it do?
Name the job in one sentence.</t>
  </si>
  <si>
    <t>O</t>
  </si>
  <si>
    <t>Output</t>
  </si>
  <si>
    <t>What should come back, for whom, in what format, and where?
Audience, length, sections, visuals, and the sheet name 'Leadership Summary'.</t>
  </si>
  <si>
    <t>C</t>
  </si>
  <si>
    <t>Context</t>
  </si>
  <si>
    <t>What does it need to know about this business and this workbook?
Company, the two analyses, which sheets hold them, the decision leaders face.</t>
  </si>
  <si>
    <t>QC</t>
  </si>
  <si>
    <t>Quality Control</t>
  </si>
  <si>
    <t>What rules keep the result honest?
Use only numbers from this workbook, show where each number came from, flag assumptions.</t>
  </si>
  <si>
    <t>3. The full prompt exactly as I sent it (copy and paste)</t>
  </si>
  <si>
    <t>4. Verification log: check THREE numbers from the AI report against your own model</t>
  </si>
  <si>
    <t>#</t>
  </si>
  <si>
    <t>Number or claim in the AI report</t>
  </si>
  <si>
    <t>Where it lives in MY model (sheet + cell)</t>
  </si>
  <si>
    <t>Value in my model</t>
  </si>
  <si>
    <t>Match?</t>
  </si>
  <si>
    <t>If No: what was wrong and what did you do?</t>
  </si>
  <si>
    <t>e.g.</t>
  </si>
  <si>
    <t>A cherry bookshelf costs $513.89 in 6 years</t>
  </si>
  <si>
    <t>Model!E25  (class example)</t>
  </si>
  <si>
    <t>$513.89</t>
  </si>
  <si>
    <t>Yes</t>
  </si>
  <si>
    <t>(example row from the class case; do not edit)</t>
  </si>
  <si>
    <t>5. One thing the AI got wrong, overstated, or left out, and how you knew</t>
  </si>
  <si>
    <t>If every number matched, name one limit of the model that the report should have mentioned to leaders.</t>
  </si>
  <si>
    <t>6. Reflection (1 or 2 sentences): which RT-OC-QC part improved the report the most, and why?</t>
  </si>
  <si>
    <t>Campus Threads Co. · Leadership Summary</t>
  </si>
  <si>
    <t>Prepared for the owner. All numbers link to the Cost Projection and Break-even sheets.</t>
  </si>
  <si>
    <t>Bottom line</t>
  </si>
  <si>
    <t>Key numbers</t>
  </si>
  <si>
    <t>Metric</t>
  </si>
  <si>
    <t>Value</t>
  </si>
  <si>
    <t>Where it comes from</t>
  </si>
  <si>
    <t>Cotton cost per hoodie, today</t>
  </si>
  <si>
    <t>Cost Projection!E24</t>
  </si>
  <si>
    <t>Recycled cost per hoodie, today</t>
  </si>
  <si>
    <t>Cost Projection!F24</t>
  </si>
  <si>
    <t>Cotton cost per hoodie, year 5</t>
  </si>
  <si>
    <t>Cost Projection!E29</t>
  </si>
  <si>
    <t>Recycled cost per hoodie, year 5</t>
  </si>
  <si>
    <t>Cost Projection!F29</t>
  </si>
  <si>
    <t>First year Recycled is cheaper</t>
  </si>
  <si>
    <t>Cost Projection!G24:G29</t>
  </si>
  <si>
    <t>Campaign profit (25,000 clicks, 4% conversion)</t>
  </si>
  <si>
    <t>Break-even!E15</t>
  </si>
  <si>
    <t>Break-even!E20</t>
  </si>
  <si>
    <t>Break-even!E21</t>
  </si>
  <si>
    <t>Break-even!E22</t>
  </si>
  <si>
    <t>Profit if conversion is only 3%</t>
  </si>
  <si>
    <t>Break-even!J21 (data table)</t>
  </si>
  <si>
    <t>Recommended actions</t>
  </si>
  <si>
    <t>1. Switch to recycled fabric if you expect to make this hoodie for 3 or more years: it costs more now but is cheaper from year 3 and the gap widens.</t>
  </si>
  <si>
    <t>2. Run the campaign, but test a smaller click purchase first to measure the real conversion rate; profit disappears below about 3.4%.</t>
  </si>
  <si>
    <t>3. Protect the margin: keep the average order near $60 (break-even is about $55.80) and watch the cost per click.</t>
  </si>
  <si>
    <t>Limits: the model holds conversion rate, price and cost growth rates constant and does not test whether recycled fabric changes demand.</t>
  </si>
  <si>
    <t>Claude in Excel</t>
  </si>
  <si>
    <t>You are a business analyst advising the owner of Campus Threads Co., a small company that sells $60 hoodies to college students.</t>
  </si>
  <si>
    <t>Using only my Cost Projection and Break-even sheets, answer two questions for the owner: should we switch from cotton to recycled fabric, and will the planned Instagram ad campaign make money?</t>
  </si>
  <si>
    <t>Create a new sheet named 'Leadership Summary' for a non-technical owner, one printed page: a 2 to 4 bullet bottom line, a small table of key numbers linked to my cells, at least one chart, and 2 or 3 recommended actions.</t>
  </si>
  <si>
    <t>Cost Projection projects 5-year cost per hoodie for Cotton ($6.00/yd, +4.5%/yr) and Recycled ($7.75/yd, +1%/yr) with labor at $16/hr growing 3.5%/yr. Break-even models 25,000 purchased clicks at $0.70, 4% conversion, $60 average order, $32 variable cost per order and $6,300 fixed cost. Leaders must decide on the fabric and on the ad buy.</t>
  </si>
  <si>
    <t>Use only numbers that are in this workbook and name the sheet and cell for each one. Do not change any cell in my model. State assumptions (constant conversion rate, price and growth rates), say what could make the profit disappear, and do not invent figures.</t>
  </si>
  <si>
    <t>You are a business analyst advising the owner of Campus Threads Co., a small company that sells $60 hoodies to college students. Using only my Cost Projection and Break-even sheets, answer two questions for the owner: should we switch from cotton to recycled fabric, and will the planned Instagram ad campaign make money? Create a new sheet named 'Leadership Summary' for a non-technical owner, one printed page: a 2 to 4 bullet bottom line, a small table of key numbers linked to my cells, at least one chart, and 2 or 3 recommended actions. Cost Projection projects 5-year cost per hoodie for Cotton ($6.00/yd, +4.5%/yr) and Recycled ($7.75/yd, +1%/yr) with labor at $16/hr growing 3.5%/yr. Break-even models 25,000 purchased clicks at $0.70, 4% conversion, $60 average order, $32 variable cost per order and $6,300 fixed cost. Leaders must decide on the fabric and on the ad buy. Use only numbers that are in this workbook and name the sheet and cell for each one. Do not change any cell in my model. State assumptions (constant conversion rate, price and growth rates), say what could make the profit disappear, and do not invent figures.</t>
  </si>
  <si>
    <t>Cotton hoodie cost in year 5 is $29.46</t>
  </si>
  <si>
    <t>Campaign profit is $4,200 at 25,000 clicks</t>
  </si>
  <si>
    <t>Campaign breaks even at 15,000 clicks</t>
  </si>
  <si>
    <t>Quality Control improved the report most: telling the AI to cite a sheet and cell for every number made each figure easy to check, and the assumptions rule forced the report to admit how thin the profit is.</t>
  </si>
  <si>
    <t>The report states the $4,200 profit but does not say that the 4% conversion rate behind it is only an assumption with no test data. I knew because Break-even!E6 is a typed input, and the data table shows a $2,800 loss at 3% (break-even is 3.4%). It also leaves out any effect of recycled fabric on demand, which the model does not include.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</si>
</sst>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164" formatCode="0.0"/>
    <numFmt numFmtId="165" formatCode="&quot;$&quot;#,##0.00"/>
    <numFmt numFmtId="166" formatCode="0.0%"/>
    <numFmt numFmtId="167" formatCode="&quot;$&quot;#,##0.00;[Red]\-&quot;$&quot;#,##0.00"/>
    <numFmt numFmtId="168" formatCode="&quot;$&quot;#,##0"/>
    <numFmt numFmtId="169" formatCode="&quot;$&quot;#,##0;[Red]\-&quot;$&quot;#,##0"/>
  </numFmts>
  <fonts count="18" x14ac:knownFonts="1">
    <font>
      <sz val="11"/>
      <color theme="1"/>
      <name val="Calibri"/>
      <family val="2"/>
      <scheme val="minor"/>
    </font>
    <font>
      <b/>
      <sz val="15"/>
      <color rgb="FFFFFFFF"/>
      <name val="Calibri"/>
    </font>
    <font>
      <i/>
      <sz val="11"/>
      <color rgb="FF404040"/>
      <name val="Calibri"/>
    </font>
    <font>
      <b/>
      <sz val="11"/>
      <color rgb="FF000000"/>
      <name val="Calibri"/>
    </font>
    <font>
      <sz val="11"/>
      <color rgb="FF0000FF"/>
      <name val="Calibri"/>
    </font>
    <font>
      <sz val="11"/>
      <color rgb="FF000000"/>
      <name val="Calibri"/>
    </font>
    <font>
      <b/>
      <sz val="11"/>
      <color rgb="FFFFFFFF"/>
      <name val="Calibri"/>
    </font>
    <font>
      <b/>
      <sz val="11"/>
      <color rgb="FF006747"/>
      <name val="Calibri"/>
    </font>
    <font>
      <i/>
      <sz val="10"/>
      <color rgb="FF404040"/>
      <name val="Calibri"/>
    </font>
    <font>
      <b/>
      <sz val="12"/>
      <color rgb="FF006747"/>
      <name val="Calibri"/>
    </font>
    <font>
      <b/>
      <sz val="11"/>
      <color rgb="FFC00000"/>
      <name val="Calibri"/>
    </font>
    <font>
      <sz val="10"/>
      <color rgb="FF404040"/>
      <name val="Calibri"/>
    </font>
    <font>
      <i/>
      <sz val="10"/>
      <color rgb="FF808080"/>
      <name val="Calibri"/>
    </font>
    <font>
      <b/>
      <sz val="11"/>
      <color theme="1"/>
      <name val="Calibri"/>
      <family val="2"/>
      <scheme val="minor"/>
    </font>
    <font>
      <b/>
      <sz val="15"/>
      <color rgb="FFFFFFFF"/>
      <name val="Calibri"/>
      <family val="2"/>
      <scheme val="minor"/>
    </font>
    <font>
      <i/>
      <sz val="11"/>
      <color rgb="FF404040"/>
      <name val="Calibri"/>
      <family val="2"/>
      <scheme val="minor"/>
    </font>
    <font>
      <b/>
      <sz val="11"/>
      <color rgb="FFFFFFFF"/>
      <name val="Calibri"/>
      <family val="2"/>
      <scheme val="minor"/>
    </font>
    <font>
      <i/>
      <sz val="10"/>
      <color rgb="FF404040"/>
      <name val="Calibri"/>
      <family val="2"/>
      <scheme val="minor"/>
    </font>
  </fonts>
  <fills count="15">
    <fill>
      <patternFill patternType="none"/>
    </fill>
    <fill>
      <patternFill patternType="gray125"/>
    </fill>
    <fill>
      <patternFill patternType="solid">
        <fgColor rgb="FF006747"/>
      </patternFill>
    </fill>
    <fill>
      <patternFill patternType="solid">
        <fgColor rgb="FFDDEBF7"/>
      </patternFill>
    </fill>
    <fill>
      <patternFill patternType="solid">
        <fgColor rgb="FFFFF2CC"/>
      </patternFill>
    </fill>
    <fill>
      <patternFill patternType="solid">
        <fgColor rgb="FF2F5597"/>
      </patternFill>
    </fill>
    <fill>
      <patternFill patternType="solid">
        <fgColor rgb="FF595959"/>
      </patternFill>
    </fill>
    <fill>
      <patternFill patternType="solid">
        <fgColor rgb="FFEDEDED"/>
      </patternFill>
    </fill>
    <fill>
      <patternFill patternType="solid">
        <fgColor rgb="FFFBE5E5"/>
      </patternFill>
    </fill>
    <fill>
      <patternFill patternType="solid">
        <fgColor rgb="FFC00000"/>
      </patternFill>
    </fill>
    <fill>
      <patternFill patternType="solid">
        <fgColor rgb="FFFBF4DC"/>
      </patternFill>
    </fill>
    <fill>
      <patternFill patternType="solid">
        <fgColor rgb="FF006747"/>
        <bgColor indexed="64"/>
      </patternFill>
    </fill>
    <fill>
      <patternFill patternType="solid">
        <fgColor rgb="FF2F5597"/>
        <bgColor indexed="64"/>
      </patternFill>
    </fill>
    <fill>
      <patternFill patternType="solid">
        <fgColor rgb="FFEDEDED"/>
        <bgColor indexed="64"/>
      </patternFill>
    </fill>
    <fill>
      <patternFill patternType="solid">
        <fgColor rgb="FFFFF2CC"/>
        <bgColor indexed="64"/>
      </patternFill>
    </fill>
  </fills>
  <borders count="8">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style="thin">
        <color rgb="FFBFBFBF"/>
      </bottom>
      <diagonal/>
    </border>
    <border>
      <left style="thin">
        <color rgb="FFBFBFBF"/>
      </left>
      <right/>
      <top style="thin">
        <color rgb="FFBFBFBF"/>
      </top>
      <bottom style="thin">
        <color rgb="FFBFBFBF"/>
      </bottom>
      <diagonal/>
    </border>
  </borders>
  <cellStyleXfs count="1">
    <xf numFmtId="0" fontId="0" fillId="0" borderId="0"/>
  </cellStyleXfs>
  <cellXfs count="87">
    <xf numFmtId="0" fontId="0" fillId="0" borderId="0" xfId="0"/>
    <xf numFmtId="0" fontId="1" fillId="2" borderId="0" xfId="0" applyFont="1" applyFill="1"/>
    <xf numFmtId="0" fontId="0" fillId="2" borderId="0" xfId="0" applyFill="1"/>
    <xf numFmtId="0" fontId="3" fillId="0" borderId="0" xfId="0" applyFont="1"/>
    <xf numFmtId="0" fontId="4" fillId="3" borderId="1" xfId="0" applyFont="1" applyFill="1" applyBorder="1"/>
    <xf numFmtId="0" fontId="5" fillId="4" borderId="1" xfId="0" applyFont="1" applyFill="1" applyBorder="1"/>
    <xf numFmtId="0" fontId="6" fillId="5" borderId="0" xfId="0" applyFont="1" applyFill="1"/>
    <xf numFmtId="0" fontId="0" fillId="5" borderId="0" xfId="0" applyFill="1"/>
    <xf numFmtId="0" fontId="3" fillId="0" borderId="0" xfId="0" applyFont="1" applyAlignment="1">
      <alignment horizontal="right" vertical="center"/>
    </xf>
    <xf numFmtId="0" fontId="5" fillId="0" borderId="0" xfId="0" applyFont="1"/>
    <xf numFmtId="164" fontId="4" fillId="3" borderId="1" xfId="0" applyNumberFormat="1" applyFont="1" applyFill="1" applyBorder="1"/>
    <xf numFmtId="2" fontId="4" fillId="3" borderId="1" xfId="0" applyNumberFormat="1" applyFont="1" applyFill="1" applyBorder="1"/>
    <xf numFmtId="165" fontId="4" fillId="3" borderId="1" xfId="0" applyNumberFormat="1" applyFont="1" applyFill="1" applyBorder="1"/>
    <xf numFmtId="166" fontId="4" fillId="3" borderId="1" xfId="0" applyNumberFormat="1" applyFont="1" applyFill="1" applyBorder="1"/>
    <xf numFmtId="0" fontId="6" fillId="6" borderId="0" xfId="0" applyFont="1" applyFill="1"/>
    <xf numFmtId="0" fontId="0" fillId="6" borderId="0" xfId="0" applyFill="1"/>
    <xf numFmtId="0" fontId="3" fillId="7" borderId="1" xfId="0" applyFont="1" applyFill="1" applyBorder="1"/>
    <xf numFmtId="0" fontId="3" fillId="7" borderId="1" xfId="0" applyFont="1" applyFill="1" applyBorder="1" applyAlignment="1">
      <alignment horizontal="right" vertical="center"/>
    </xf>
    <xf numFmtId="0" fontId="5" fillId="0" borderId="1" xfId="0" applyFont="1" applyBorder="1" applyAlignment="1">
      <alignment horizontal="center" vertical="center"/>
    </xf>
    <xf numFmtId="167" fontId="5" fillId="4" borderId="1" xfId="0" applyNumberFormat="1" applyFont="1" applyFill="1" applyBorder="1"/>
    <xf numFmtId="167" fontId="3" fillId="4" borderId="1" xfId="0" applyNumberFormat="1" applyFont="1" applyFill="1" applyBorder="1"/>
    <xf numFmtId="0" fontId="5" fillId="0" borderId="2" xfId="0" applyFont="1" applyBorder="1"/>
    <xf numFmtId="0" fontId="8" fillId="0" borderId="2" xfId="0" applyFont="1" applyBorder="1"/>
    <xf numFmtId="0" fontId="9" fillId="0" borderId="2" xfId="0" applyFont="1" applyBorder="1"/>
    <xf numFmtId="0" fontId="10" fillId="8" borderId="1" xfId="0" applyFont="1" applyFill="1" applyBorder="1"/>
    <xf numFmtId="0" fontId="7" fillId="0" borderId="0" xfId="0" applyFont="1"/>
    <xf numFmtId="168" fontId="4" fillId="3" borderId="1" xfId="0" applyNumberFormat="1" applyFont="1" applyFill="1" applyBorder="1"/>
    <xf numFmtId="3" fontId="5" fillId="4" borderId="1" xfId="0" applyNumberFormat="1" applyFont="1" applyFill="1" applyBorder="1"/>
    <xf numFmtId="0" fontId="12" fillId="0" borderId="1" xfId="0" applyFont="1" applyBorder="1"/>
    <xf numFmtId="169" fontId="5" fillId="4" borderId="1" xfId="0" applyNumberFormat="1" applyFont="1" applyFill="1" applyBorder="1"/>
    <xf numFmtId="3" fontId="5" fillId="7" borderId="1" xfId="0" applyNumberFormat="1" applyFont="1" applyFill="1" applyBorder="1"/>
    <xf numFmtId="0" fontId="6" fillId="9" borderId="0" xfId="0" applyFont="1" applyFill="1"/>
    <xf numFmtId="0" fontId="0" fillId="9" borderId="0" xfId="0" applyFill="1"/>
    <xf numFmtId="3" fontId="10" fillId="8" borderId="1" xfId="0" applyNumberFormat="1" applyFont="1" applyFill="1" applyBorder="1"/>
    <xf numFmtId="169" fontId="3" fillId="4" borderId="1" xfId="0" applyNumberFormat="1" applyFont="1" applyFill="1" applyBorder="1"/>
    <xf numFmtId="165" fontId="5" fillId="4" borderId="1" xfId="0" applyNumberFormat="1" applyFont="1" applyFill="1" applyBorder="1"/>
    <xf numFmtId="3" fontId="3" fillId="7" borderId="1" xfId="0" applyNumberFormat="1" applyFont="1" applyFill="1" applyBorder="1"/>
    <xf numFmtId="9" fontId="3" fillId="7" borderId="1" xfId="0" applyNumberFormat="1" applyFont="1" applyFill="1" applyBorder="1"/>
    <xf numFmtId="10" fontId="5" fillId="4" borderId="1" xfId="0" applyNumberFormat="1" applyFont="1" applyFill="1" applyBorder="1"/>
    <xf numFmtId="0" fontId="3" fillId="0" borderId="0" xfId="0" applyFont="1" applyAlignment="1">
      <alignment vertical="top" wrapText="1"/>
    </xf>
    <xf numFmtId="0" fontId="8" fillId="0" borderId="0" xfId="0" applyFont="1"/>
    <xf numFmtId="0" fontId="9" fillId="0" borderId="0" xfId="0" applyFont="1"/>
    <xf numFmtId="0" fontId="6" fillId="2" borderId="1" xfId="0" applyFont="1" applyFill="1" applyBorder="1"/>
    <xf numFmtId="0" fontId="0" fillId="0" borderId="4" xfId="0" applyBorder="1"/>
    <xf numFmtId="0" fontId="3" fillId="0" borderId="1" xfId="0" applyFont="1" applyBorder="1" applyAlignment="1">
      <alignment horizontal="center" vertical="center"/>
    </xf>
    <xf numFmtId="0" fontId="3" fillId="0" borderId="1" xfId="0" applyFont="1" applyBorder="1" applyAlignment="1">
      <alignment vertical="top" wrapText="1"/>
    </xf>
    <xf numFmtId="0" fontId="11" fillId="0" borderId="1" xfId="0" applyFont="1" applyBorder="1" applyAlignment="1">
      <alignment vertical="top" wrapText="1"/>
    </xf>
    <xf numFmtId="0" fontId="5" fillId="4" borderId="1" xfId="0" applyFont="1" applyFill="1" applyBorder="1" applyAlignment="1">
      <alignment vertical="top" wrapText="1"/>
    </xf>
    <xf numFmtId="0" fontId="6" fillId="2" borderId="1" xfId="0" applyFont="1" applyFill="1" applyBorder="1" applyAlignment="1">
      <alignment vertical="center" wrapText="1"/>
    </xf>
    <xf numFmtId="0" fontId="12" fillId="7" borderId="1" xfId="0" applyFont="1" applyFill="1" applyBorder="1" applyAlignment="1">
      <alignment vertical="top" wrapText="1"/>
    </xf>
    <xf numFmtId="0" fontId="5" fillId="0" borderId="2" xfId="0" applyFont="1" applyBorder="1" applyAlignment="1">
      <alignment vertical="top" wrapText="1"/>
    </xf>
    <xf numFmtId="0" fontId="0" fillId="0" borderId="0" xfId="0"/>
    <xf numFmtId="0" fontId="3" fillId="0" borderId="2" xfId="0" applyFont="1" applyBorder="1" applyAlignment="1">
      <alignment vertical="top" wrapText="1"/>
    </xf>
    <xf numFmtId="0" fontId="2" fillId="0" borderId="0" xfId="0" applyFont="1" applyAlignment="1">
      <alignment vertical="top" wrapText="1"/>
    </xf>
    <xf numFmtId="0" fontId="5" fillId="0" borderId="0" xfId="0" applyFont="1" applyAlignment="1">
      <alignment vertical="top" wrapText="1"/>
    </xf>
    <xf numFmtId="0" fontId="5" fillId="4" borderId="1" xfId="0" applyFont="1" applyFill="1" applyBorder="1"/>
    <xf numFmtId="0" fontId="0" fillId="4" borderId="1" xfId="0" applyFill="1" applyBorder="1"/>
    <xf numFmtId="0" fontId="5" fillId="0" borderId="0" xfId="0" applyFont="1"/>
    <xf numFmtId="0" fontId="5" fillId="4" borderId="1" xfId="0" applyFont="1" applyFill="1" applyBorder="1" applyAlignment="1">
      <alignment vertical="top" wrapText="1"/>
    </xf>
    <xf numFmtId="0" fontId="6" fillId="2" borderId="1" xfId="0" applyFont="1" applyFill="1" applyBorder="1"/>
    <xf numFmtId="0" fontId="0" fillId="0" borderId="4" xfId="0" applyBorder="1"/>
    <xf numFmtId="0" fontId="0" fillId="0" borderId="5" xfId="0" applyBorder="1"/>
    <xf numFmtId="0" fontId="11" fillId="10" borderId="0" xfId="0" applyFont="1" applyFill="1" applyAlignment="1">
      <alignment vertical="top" wrapText="1"/>
    </xf>
    <xf numFmtId="0" fontId="0" fillId="11" borderId="0" xfId="0" applyFill="1"/>
    <xf numFmtId="0" fontId="14" fillId="11" borderId="0" xfId="0" applyFont="1" applyFill="1"/>
    <xf numFmtId="0" fontId="15" fillId="0" borderId="0" xfId="0" applyFont="1"/>
    <xf numFmtId="0" fontId="16" fillId="12" borderId="0" xfId="0" applyFont="1" applyFill="1"/>
    <xf numFmtId="0" fontId="13" fillId="13" borderId="0" xfId="0" applyFont="1" applyFill="1"/>
    <xf numFmtId="0" fontId="0" fillId="0" borderId="6" xfId="0" applyBorder="1"/>
    <xf numFmtId="0" fontId="0" fillId="0" borderId="3" xfId="0" applyBorder="1"/>
    <xf numFmtId="0" fontId="0" fillId="0" borderId="0" xfId="0" applyAlignment="1">
      <alignment vertical="top" wrapText="1"/>
    </xf>
    <xf numFmtId="0" fontId="17" fillId="0" borderId="0" xfId="0" applyFont="1" applyAlignment="1">
      <alignment vertical="top" wrapText="1"/>
    </xf>
    <xf numFmtId="165" fontId="0" fillId="0" borderId="6" xfId="0" applyNumberFormat="1" applyBorder="1" applyAlignment="1">
      <alignment horizontal="right"/>
    </xf>
    <xf numFmtId="165" fontId="0" fillId="0" borderId="4" xfId="0" applyNumberFormat="1" applyBorder="1" applyAlignment="1">
      <alignment horizontal="right"/>
    </xf>
    <xf numFmtId="1" fontId="0" fillId="0" borderId="4" xfId="0" applyNumberFormat="1" applyBorder="1" applyAlignment="1">
      <alignment horizontal="right"/>
    </xf>
    <xf numFmtId="169" fontId="0" fillId="0" borderId="4" xfId="0" applyNumberFormat="1" applyBorder="1" applyAlignment="1">
      <alignment horizontal="right"/>
    </xf>
    <xf numFmtId="3" fontId="0" fillId="0" borderId="4" xfId="0" applyNumberFormat="1" applyBorder="1" applyAlignment="1">
      <alignment horizontal="right"/>
    </xf>
    <xf numFmtId="166" fontId="0" fillId="0" borderId="4" xfId="0" applyNumberFormat="1" applyBorder="1" applyAlignment="1">
      <alignment horizontal="right"/>
    </xf>
    <xf numFmtId="169" fontId="0" fillId="0" borderId="3" xfId="0" applyNumberFormat="1" applyBorder="1" applyAlignment="1">
      <alignment horizontal="right"/>
    </xf>
    <xf numFmtId="14" fontId="5" fillId="4" borderId="1" xfId="0" applyNumberFormat="1" applyFont="1" applyFill="1" applyBorder="1"/>
    <xf numFmtId="8" fontId="5" fillId="4" borderId="1" xfId="0" applyNumberFormat="1" applyFont="1" applyFill="1" applyBorder="1" applyAlignment="1">
      <alignment vertical="top" wrapText="1"/>
    </xf>
    <xf numFmtId="6" fontId="5" fillId="4" borderId="1" xfId="0" applyNumberFormat="1" applyFont="1" applyFill="1" applyBorder="1" applyAlignment="1">
      <alignment vertical="top" wrapText="1"/>
    </xf>
    <xf numFmtId="3" fontId="5" fillId="4" borderId="1" xfId="0" applyNumberFormat="1" applyFont="1" applyFill="1" applyBorder="1" applyAlignment="1">
      <alignment vertical="top" wrapText="1"/>
    </xf>
    <xf numFmtId="0" fontId="0" fillId="14" borderId="7" xfId="0" applyFill="1" applyBorder="1" applyAlignment="1">
      <alignment wrapText="1"/>
    </xf>
    <xf numFmtId="0" fontId="0" fillId="14" borderId="4" xfId="0" applyFill="1" applyBorder="1" applyAlignment="1">
      <alignment wrapText="1"/>
    </xf>
    <xf numFmtId="0" fontId="0" fillId="14" borderId="5" xfId="0" applyFill="1" applyBorder="1" applyAlignment="1">
      <alignment wrapText="1"/>
    </xf>
    <xf numFmtId="0" fontId="8" fillId="0" borderId="0" xfId="0" applyFont="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 Cost per Hoodie: Cotton vs Recycled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Cotton</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Projection'!$E$24:$E$29</c:f>
              <c:numCache>
                <c:formatCode>"$"#,##0.00;[Red]\-"$"#,##0.00</c:formatCode>
                <c:ptCount val="6"/>
                <c:pt idx="0">
                  <c:v>25</c:v>
                </c:pt>
                <c:pt idx="1">
                  <c:v>25.82</c:v>
                </c:pt>
                <c:pt idx="2">
                  <c:v>26.674099999999996</c:v>
                </c:pt>
                <c:pt idx="3">
                  <c:v>27.563736499999997</c:v>
                </c:pt>
                <c:pt idx="4">
                  <c:v>28.490407212499992</c:v>
                </c:pt>
                <c:pt idx="5">
                  <c:v>29.455673697012489</c:v>
                </c:pt>
              </c:numCache>
            </c:numRef>
          </c:yVal>
          <c:smooth val="0"/>
          <c:extLst>
            <c:ext xmlns:c16="http://schemas.microsoft.com/office/drawing/2014/chart" uri="{C3380CC4-5D6E-409C-BE32-E72D297353CC}">
              <c16:uniqueId val="{00000001-8B03-42D8-B372-B53947F7A738}"/>
            </c:ext>
          </c:extLst>
        </c:ser>
        <c:ser>
          <c:idx val="1"/>
          <c:order val="1"/>
          <c:tx>
            <c:v>Recycled</c:v>
          </c:tx>
          <c:spPr>
            <a:ln w="19050" cap="rnd">
              <a:solidFill>
                <a:schemeClr val="accent2"/>
              </a:solidFill>
              <a:round/>
            </a:ln>
            <a:effectLst/>
          </c:spPr>
          <c:marker>
            <c:symbol val="square"/>
            <c:size val="5"/>
            <c:spPr>
              <a:solidFill>
                <a:schemeClr val="accent2"/>
              </a:solidFill>
              <a:ln w="9525">
                <a:solidFill>
                  <a:schemeClr val="accent2"/>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Projection'!$F$24:$F$29</c:f>
              <c:numCache>
                <c:formatCode>"$"#,##0.00;[Red]\-"$"#,##0.00</c:formatCode>
                <c:ptCount val="6"/>
                <c:pt idx="0">
                  <c:v>26.150000000000002</c:v>
                </c:pt>
                <c:pt idx="1">
                  <c:v>26.541499999999999</c:v>
                </c:pt>
                <c:pt idx="2">
                  <c:v>26.943215000000002</c:v>
                </c:pt>
                <c:pt idx="3">
                  <c:v>27.355467649999998</c:v>
                </c:pt>
                <c:pt idx="4">
                  <c:v>27.778591543999998</c:v>
                </c:pt>
                <c:pt idx="5">
                  <c:v>28.212931599552498</c:v>
                </c:pt>
              </c:numCache>
            </c:numRef>
          </c:yVal>
          <c:smooth val="0"/>
          <c:extLst>
            <c:ext xmlns:c16="http://schemas.microsoft.com/office/drawing/2014/chart" uri="{C3380CC4-5D6E-409C-BE32-E72D297353CC}">
              <c16:uniqueId val="{00000002-8B03-42D8-B372-B53947F7A738}"/>
            </c:ext>
          </c:extLst>
        </c:ser>
        <c:dLbls>
          <c:showLegendKey val="0"/>
          <c:showVal val="0"/>
          <c:showCatName val="0"/>
          <c:showSerName val="0"/>
          <c:showPercent val="0"/>
          <c:showBubbleSize val="0"/>
        </c:dLbls>
        <c:axId val="1891612816"/>
        <c:axId val="1273748496"/>
      </c:scatterChart>
      <c:valAx>
        <c:axId val="1891612816"/>
        <c:scaling>
          <c:orientation val="minMax"/>
          <c:max val="5"/>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 from now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748496"/>
        <c:crosses val="autoZero"/>
        <c:crossBetween val="midCat"/>
        <c:majorUnit val="1"/>
      </c:valAx>
      <c:valAx>
        <c:axId val="1273748496"/>
        <c:scaling>
          <c:orientation val="minMax"/>
          <c:min val="2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per hoodie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1281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per hoodie: Cotton vs Recycled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Cotton</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Projection'!$E$24:$E$29</c:f>
              <c:numCache>
                <c:formatCode>"$"#,##0.00;[Red]\-"$"#,##0.00</c:formatCode>
                <c:ptCount val="6"/>
                <c:pt idx="0">
                  <c:v>25</c:v>
                </c:pt>
                <c:pt idx="1">
                  <c:v>25.82</c:v>
                </c:pt>
                <c:pt idx="2">
                  <c:v>26.674099999999996</c:v>
                </c:pt>
                <c:pt idx="3">
                  <c:v>27.563736499999997</c:v>
                </c:pt>
                <c:pt idx="4">
                  <c:v>28.490407212499992</c:v>
                </c:pt>
                <c:pt idx="5">
                  <c:v>29.455673697012489</c:v>
                </c:pt>
              </c:numCache>
            </c:numRef>
          </c:yVal>
          <c:smooth val="0"/>
          <c:extLst>
            <c:ext xmlns:c16="http://schemas.microsoft.com/office/drawing/2014/chart" uri="{C3380CC4-5D6E-409C-BE32-E72D297353CC}">
              <c16:uniqueId val="{00000001-2A04-403E-9CAF-BDE1EE0658AD}"/>
            </c:ext>
          </c:extLst>
        </c:ser>
        <c:ser>
          <c:idx val="1"/>
          <c:order val="1"/>
          <c:tx>
            <c:v>Recycled</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'Cost Projection'!$A$24:$A$29</c:f>
              <c:numCache>
                <c:formatCode>General</c:formatCode>
                <c:ptCount val="6"/>
                <c:pt idx="0">
                  <c:v>0</c:v>
                </c:pt>
                <c:pt idx="1">
                  <c:v>1</c:v>
                </c:pt>
                <c:pt idx="2">
                  <c:v>2</c:v>
                </c:pt>
                <c:pt idx="3">
                  <c:v>3</c:v>
                </c:pt>
                <c:pt idx="4">
                  <c:v>4</c:v>
                </c:pt>
                <c:pt idx="5">
                  <c:v>5</c:v>
                </c:pt>
              </c:numCache>
            </c:numRef>
          </c:xVal>
          <c:yVal>
            <c:numRef>
              <c:f>'Cost Projection'!$F$24:$F$29</c:f>
              <c:numCache>
                <c:formatCode>"$"#,##0.00;[Red]\-"$"#,##0.00</c:formatCode>
                <c:ptCount val="6"/>
                <c:pt idx="0">
                  <c:v>26.150000000000002</c:v>
                </c:pt>
                <c:pt idx="1">
                  <c:v>26.541499999999999</c:v>
                </c:pt>
                <c:pt idx="2">
                  <c:v>26.943215000000002</c:v>
                </c:pt>
                <c:pt idx="3">
                  <c:v>27.355467649999998</c:v>
                </c:pt>
                <c:pt idx="4">
                  <c:v>27.778591543999998</c:v>
                </c:pt>
                <c:pt idx="5">
                  <c:v>28.212931599552498</c:v>
                </c:pt>
              </c:numCache>
            </c:numRef>
          </c:yVal>
          <c:smooth val="0"/>
          <c:extLst>
            <c:ext xmlns:c16="http://schemas.microsoft.com/office/drawing/2014/chart" uri="{C3380CC4-5D6E-409C-BE32-E72D297353CC}">
              <c16:uniqueId val="{00000002-2A04-403E-9CAF-BDE1EE0658AD}"/>
            </c:ext>
          </c:extLst>
        </c:ser>
        <c:dLbls>
          <c:showLegendKey val="0"/>
          <c:showVal val="0"/>
          <c:showCatName val="0"/>
          <c:showSerName val="0"/>
          <c:showPercent val="0"/>
          <c:showBubbleSize val="0"/>
        </c:dLbls>
        <c:axId val="1985979088"/>
        <c:axId val="1273711056"/>
      </c:scatterChart>
      <c:valAx>
        <c:axId val="1985979088"/>
        <c:scaling>
          <c:orientation val="minMax"/>
          <c:max val="5"/>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 from now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711056"/>
        <c:crosses val="autoZero"/>
        <c:crossBetween val="midCat"/>
        <c:majorUnit val="1"/>
      </c:valAx>
      <c:valAx>
        <c:axId val="1273711056"/>
        <c:scaling>
          <c:orientation val="minMax"/>
          <c:min val="2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per hoodie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7908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Campaign profit vs clicks purchased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Profit</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'Break-even'!$G$8:$G$15</c:f>
              <c:numCache>
                <c:formatCode>#,##0</c:formatCode>
                <c:ptCount val="8"/>
                <c:pt idx="0">
                  <c:v>5000</c:v>
                </c:pt>
                <c:pt idx="1">
                  <c:v>10000</c:v>
                </c:pt>
                <c:pt idx="2">
                  <c:v>15000</c:v>
                </c:pt>
                <c:pt idx="3">
                  <c:v>20000</c:v>
                </c:pt>
                <c:pt idx="4">
                  <c:v>25000</c:v>
                </c:pt>
                <c:pt idx="5">
                  <c:v>30000</c:v>
                </c:pt>
                <c:pt idx="6">
                  <c:v>35000</c:v>
                </c:pt>
                <c:pt idx="7">
                  <c:v>40000</c:v>
                </c:pt>
              </c:numCache>
            </c:numRef>
          </c:xVal>
          <c:yVal>
            <c:numRef>
              <c:f>'Break-even'!$H$8:$H$15</c:f>
              <c:numCache>
                <c:formatCode>"$"#,##0;[Red]\-"$"#,##0</c:formatCode>
                <c:ptCount val="8"/>
                <c:pt idx="0">
                  <c:v>-4200</c:v>
                </c:pt>
                <c:pt idx="1">
                  <c:v>-2100</c:v>
                </c:pt>
                <c:pt idx="2">
                  <c:v>0</c:v>
                </c:pt>
                <c:pt idx="3">
                  <c:v>2100</c:v>
                </c:pt>
                <c:pt idx="4">
                  <c:v>4200</c:v>
                </c:pt>
                <c:pt idx="5">
                  <c:v>6300</c:v>
                </c:pt>
                <c:pt idx="6">
                  <c:v>8400</c:v>
                </c:pt>
                <c:pt idx="7">
                  <c:v>10500</c:v>
                </c:pt>
              </c:numCache>
            </c:numRef>
          </c:yVal>
          <c:smooth val="0"/>
          <c:extLst>
            <c:ext xmlns:c16="http://schemas.microsoft.com/office/drawing/2014/chart" uri="{C3380CC4-5D6E-409C-BE32-E72D297353CC}">
              <c16:uniqueId val="{00000001-4388-4925-9811-5C4E9C84C950}"/>
            </c:ext>
          </c:extLst>
        </c:ser>
        <c:dLbls>
          <c:showLegendKey val="0"/>
          <c:showVal val="0"/>
          <c:showCatName val="0"/>
          <c:showSerName val="0"/>
          <c:showPercent val="0"/>
          <c:showBubbleSize val="0"/>
        </c:dLbls>
        <c:axId val="1768839520"/>
        <c:axId val="1273669296"/>
      </c:scatterChart>
      <c:valAx>
        <c:axId val="17688395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Clicks purchased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669296"/>
        <c:crosses val="autoZero"/>
        <c:crossBetween val="midCat"/>
      </c:valAx>
      <c:valAx>
        <c:axId val="127366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Profit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83952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4</xdr:row>
      <xdr:rowOff>0</xdr:rowOff>
    </xdr:from>
    <xdr:to>
      <xdr:col>16</xdr:col>
      <xdr:colOff>0</xdr:colOff>
      <xdr:row>22</xdr:row>
      <xdr:rowOff>0</xdr:rowOff>
    </xdr:to>
    <xdr:graphicFrame macro="">
      <xdr:nvGraphicFramePr>
        <xdr:cNvPr id="2" name="CostChart">
          <a:extLst>
            <a:ext uri="{FF2B5EF4-FFF2-40B4-BE49-F238E27FC236}">
              <a16:creationId xmlns:a16="http://schemas.microsoft.com/office/drawing/2014/main" id="{91F4B8D8-01F4-1381-85BB-F9BF4C1B7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28</xdr:row>
      <xdr:rowOff>0</xdr:rowOff>
    </xdr:from>
    <xdr:to>
      <xdr:col>2</xdr:col>
      <xdr:colOff>0</xdr:colOff>
      <xdr:row>45</xdr:row>
      <xdr:rowOff>0</xdr:rowOff>
    </xdr:to>
    <xdr:graphicFrame macro="">
      <xdr:nvGraphicFramePr>
        <xdr:cNvPr id="2" name="LS_Cost">
          <a:extLst>
            <a:ext uri="{FF2B5EF4-FFF2-40B4-BE49-F238E27FC236}">
              <a16:creationId xmlns:a16="http://schemas.microsoft.com/office/drawing/2014/main" id="{B04D89C5-5C64-0C4F-74CF-EF5A6B7E73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28</xdr:row>
      <xdr:rowOff>0</xdr:rowOff>
    </xdr:from>
    <xdr:to>
      <xdr:col>6</xdr:col>
      <xdr:colOff>0</xdr:colOff>
      <xdr:row>45</xdr:row>
      <xdr:rowOff>0</xdr:rowOff>
    </xdr:to>
    <xdr:graphicFrame macro="">
      <xdr:nvGraphicFramePr>
        <xdr:cNvPr id="3" name="LS_Profit">
          <a:extLst>
            <a:ext uri="{FF2B5EF4-FFF2-40B4-BE49-F238E27FC236}">
              <a16:creationId xmlns:a16="http://schemas.microsoft.com/office/drawing/2014/main" id="{C3CC79C2-4D05-893C-8360-91C831E9A5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FC248-D675-4C02-91DE-6D2445B92C0F}">
  <we:reference id="wa200010725" version="1.0.0.1" store="en-US" storeType="OMEX"/>
  <we:alternateReferences>
    <we:reference id="wa200010725" version="1.0.0.1" store="wa200010725" storeType="OMEX"/>
  </we:alternateReferences>
  <we:properties>
    <we:property name="claude.fileId" value="&quot;d2087418-9629-4108-9035-e3ff439b9c1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F5597"/>
    <pageSetUpPr fitToPage="1"/>
  </sheetPr>
  <dimension ref="A1:H41"/>
  <sheetViews>
    <sheetView showGridLines="0" topLeftCell="A10" workbookViewId="0"/>
  </sheetViews>
  <sheetFormatPr defaultRowHeight="14.5" x14ac:dyDescent="0.35"/>
  <cols>
    <col min="1" max="1" width="44" customWidth="1"/>
    <col min="2" max="3" width="13" customWidth="1"/>
    <col min="4" max="4" width="14" customWidth="1"/>
    <col min="5" max="6" width="13" customWidth="1"/>
    <col min="7" max="7" width="19" customWidth="1"/>
    <col min="8" max="8" width="4" customWidth="1"/>
  </cols>
  <sheetData>
    <row r="1" spans="1:8" ht="28" customHeight="1" x14ac:dyDescent="0.45">
      <c r="A1" s="1" t="s">
        <v>0</v>
      </c>
      <c r="B1" s="2"/>
      <c r="C1" s="2"/>
      <c r="D1" s="2"/>
      <c r="E1" s="2"/>
      <c r="F1" s="2"/>
      <c r="G1" s="2"/>
      <c r="H1" s="2"/>
    </row>
    <row r="2" spans="1:8" ht="34" customHeight="1" x14ac:dyDescent="0.35">
      <c r="A2" s="53" t="s">
        <v>1</v>
      </c>
      <c r="B2" s="51"/>
      <c r="C2" s="51"/>
      <c r="D2" s="51"/>
      <c r="E2" s="51"/>
      <c r="F2" s="51"/>
      <c r="G2" s="51"/>
      <c r="H2" s="51"/>
    </row>
    <row r="3" spans="1:8" x14ac:dyDescent="0.35">
      <c r="A3" s="3" t="s">
        <v>2</v>
      </c>
      <c r="B3" s="4" t="s">
        <v>3</v>
      </c>
      <c r="C3" s="5" t="s">
        <v>4</v>
      </c>
    </row>
    <row r="5" spans="1:8" x14ac:dyDescent="0.35">
      <c r="A5" s="6" t="s">
        <v>5</v>
      </c>
      <c r="B5" s="7"/>
      <c r="C5" s="7"/>
    </row>
    <row r="6" spans="1:8" x14ac:dyDescent="0.35">
      <c r="A6" s="3" t="s">
        <v>6</v>
      </c>
      <c r="B6" s="8" t="s">
        <v>7</v>
      </c>
      <c r="C6" s="8" t="s">
        <v>8</v>
      </c>
    </row>
    <row r="7" spans="1:8" x14ac:dyDescent="0.35">
      <c r="A7" s="9" t="s">
        <v>9</v>
      </c>
      <c r="B7" s="10">
        <v>2</v>
      </c>
      <c r="C7" s="10">
        <v>1.8</v>
      </c>
    </row>
    <row r="8" spans="1:8" x14ac:dyDescent="0.35">
      <c r="A8" s="9" t="s">
        <v>10</v>
      </c>
      <c r="B8" s="11">
        <v>0.5</v>
      </c>
      <c r="C8" s="11">
        <v>0.45</v>
      </c>
    </row>
    <row r="10" spans="1:8" x14ac:dyDescent="0.35">
      <c r="A10" s="3" t="s">
        <v>11</v>
      </c>
      <c r="B10" s="8" t="s">
        <v>7</v>
      </c>
      <c r="C10" s="8" t="s">
        <v>8</v>
      </c>
    </row>
    <row r="11" spans="1:8" x14ac:dyDescent="0.35">
      <c r="A11" s="9" t="s">
        <v>12</v>
      </c>
      <c r="B11" s="12">
        <v>6</v>
      </c>
      <c r="C11" s="12">
        <v>7.75</v>
      </c>
    </row>
    <row r="12" spans="1:8" x14ac:dyDescent="0.35">
      <c r="A12" s="9" t="s">
        <v>13</v>
      </c>
      <c r="B12" s="13">
        <v>4.4999999999999998E-2</v>
      </c>
      <c r="C12" s="13">
        <v>0.01</v>
      </c>
    </row>
    <row r="14" spans="1:8" x14ac:dyDescent="0.35">
      <c r="A14" s="3" t="s">
        <v>14</v>
      </c>
    </row>
    <row r="15" spans="1:8" x14ac:dyDescent="0.35">
      <c r="A15" s="9" t="s">
        <v>15</v>
      </c>
      <c r="B15" s="12">
        <v>16</v>
      </c>
    </row>
    <row r="16" spans="1:8" x14ac:dyDescent="0.35">
      <c r="A16" s="9" t="s">
        <v>13</v>
      </c>
      <c r="B16" s="13">
        <v>3.5000000000000003E-2</v>
      </c>
    </row>
    <row r="18" spans="1:8" x14ac:dyDescent="0.35">
      <c r="A18" s="3" t="s">
        <v>16</v>
      </c>
    </row>
    <row r="19" spans="1:8" x14ac:dyDescent="0.35">
      <c r="A19" s="9" t="s">
        <v>17</v>
      </c>
      <c r="B19" s="12">
        <v>5</v>
      </c>
    </row>
    <row r="21" spans="1:8" x14ac:dyDescent="0.35">
      <c r="A21" s="14" t="s">
        <v>18</v>
      </c>
      <c r="B21" s="15"/>
      <c r="C21" s="15"/>
      <c r="D21" s="15"/>
      <c r="E21" s="15"/>
      <c r="F21" s="15"/>
      <c r="G21" s="15"/>
    </row>
    <row r="22" spans="1:8" x14ac:dyDescent="0.35">
      <c r="B22" s="3" t="s">
        <v>19</v>
      </c>
      <c r="D22" s="3" t="s">
        <v>20</v>
      </c>
      <c r="E22" s="3" t="s">
        <v>21</v>
      </c>
      <c r="G22" s="3" t="s">
        <v>22</v>
      </c>
    </row>
    <row r="23" spans="1:8" x14ac:dyDescent="0.35">
      <c r="A23" s="16" t="s">
        <v>23</v>
      </c>
      <c r="B23" s="17" t="s">
        <v>7</v>
      </c>
      <c r="C23" s="17" t="s">
        <v>8</v>
      </c>
      <c r="D23" s="17" t="s">
        <v>24</v>
      </c>
      <c r="E23" s="17" t="s">
        <v>7</v>
      </c>
      <c r="F23" s="17" t="s">
        <v>8</v>
      </c>
      <c r="G23" s="17" t="s">
        <v>25</v>
      </c>
    </row>
    <row r="24" spans="1:8" x14ac:dyDescent="0.35">
      <c r="A24" s="18">
        <v>0</v>
      </c>
      <c r="B24" s="19">
        <f>B$11*(1+B$12)^$A24</f>
        <v>6</v>
      </c>
      <c r="C24" s="19">
        <f t="shared" ref="C24:C29" si="0">C$11*(1+C$12)^$A24</f>
        <v>7.75</v>
      </c>
      <c r="D24" s="19">
        <f>$B$15*(1+$B$16)^$A24</f>
        <v>16</v>
      </c>
      <c r="E24" s="19">
        <f>B$7*B24+B$8*$D24+$B$19</f>
        <v>25</v>
      </c>
      <c r="F24" s="19">
        <f t="shared" ref="F24:F29" si="1">C$7*C24+C$8*$D24+$B$19</f>
        <v>26.150000000000002</v>
      </c>
      <c r="G24" s="19">
        <f>F24-E24</f>
        <v>1.1500000000000021</v>
      </c>
    </row>
    <row r="25" spans="1:8" x14ac:dyDescent="0.35">
      <c r="A25" s="18">
        <v>1</v>
      </c>
      <c r="B25" s="19">
        <f t="shared" ref="B25:C29" si="2">B$11*(1+B$12)^$A25</f>
        <v>6.27</v>
      </c>
      <c r="C25" s="19">
        <f t="shared" si="0"/>
        <v>7.8274999999999997</v>
      </c>
      <c r="D25" s="19">
        <f t="shared" ref="D25:D29" si="3">$B$15*(1+$B$16)^$A25</f>
        <v>16.559999999999999</v>
      </c>
      <c r="E25" s="19">
        <f t="shared" ref="E25:E29" si="4">B$7*B25+B$8*$D25+$B$19</f>
        <v>25.82</v>
      </c>
      <c r="F25" s="19">
        <f t="shared" si="1"/>
        <v>26.541499999999999</v>
      </c>
      <c r="G25" s="19">
        <f t="shared" ref="G25:G29" si="5">F25-E25</f>
        <v>0.72149999999999892</v>
      </c>
    </row>
    <row r="26" spans="1:8" x14ac:dyDescent="0.35">
      <c r="A26" s="18">
        <v>2</v>
      </c>
      <c r="B26" s="19">
        <f t="shared" si="2"/>
        <v>6.5521499999999993</v>
      </c>
      <c r="C26" s="19">
        <f t="shared" si="0"/>
        <v>7.9057750000000002</v>
      </c>
      <c r="D26" s="19">
        <f t="shared" si="3"/>
        <v>17.139599999999998</v>
      </c>
      <c r="E26" s="19">
        <f t="shared" si="4"/>
        <v>26.674099999999996</v>
      </c>
      <c r="F26" s="19">
        <f t="shared" si="1"/>
        <v>26.943215000000002</v>
      </c>
      <c r="G26" s="19">
        <f t="shared" si="5"/>
        <v>0.26911500000000643</v>
      </c>
    </row>
    <row r="27" spans="1:8" x14ac:dyDescent="0.35">
      <c r="A27" s="18">
        <v>3</v>
      </c>
      <c r="B27" s="19">
        <f t="shared" si="2"/>
        <v>6.8469967499999989</v>
      </c>
      <c r="C27" s="19">
        <f t="shared" si="0"/>
        <v>7.9848327499999989</v>
      </c>
      <c r="D27" s="19">
        <f t="shared" si="3"/>
        <v>17.739485999999996</v>
      </c>
      <c r="E27" s="19">
        <f t="shared" si="4"/>
        <v>27.563736499999997</v>
      </c>
      <c r="F27" s="19">
        <f t="shared" si="1"/>
        <v>27.355467649999998</v>
      </c>
      <c r="G27" s="19">
        <f t="shared" si="5"/>
        <v>-0.20826884999999962</v>
      </c>
    </row>
    <row r="28" spans="1:8" x14ac:dyDescent="0.35">
      <c r="A28" s="18">
        <v>4</v>
      </c>
      <c r="B28" s="19">
        <f t="shared" si="2"/>
        <v>7.1551116037499973</v>
      </c>
      <c r="C28" s="19">
        <f t="shared" si="0"/>
        <v>8.0646810774999995</v>
      </c>
      <c r="D28" s="19">
        <f t="shared" si="3"/>
        <v>18.360368009999995</v>
      </c>
      <c r="E28" s="19">
        <f t="shared" si="4"/>
        <v>28.490407212499992</v>
      </c>
      <c r="F28" s="19">
        <f t="shared" si="1"/>
        <v>27.778591543999998</v>
      </c>
      <c r="G28" s="19">
        <f t="shared" si="5"/>
        <v>-0.71181566849999456</v>
      </c>
    </row>
    <row r="29" spans="1:8" x14ac:dyDescent="0.35">
      <c r="A29" s="18">
        <v>5</v>
      </c>
      <c r="B29" s="19">
        <f t="shared" si="2"/>
        <v>7.4770916259187468</v>
      </c>
      <c r="C29" s="19">
        <f t="shared" si="0"/>
        <v>8.1453278882750002</v>
      </c>
      <c r="D29" s="19">
        <f t="shared" si="3"/>
        <v>19.002980890349992</v>
      </c>
      <c r="E29" s="19">
        <f t="shared" si="4"/>
        <v>29.455673697012489</v>
      </c>
      <c r="F29" s="19">
        <f t="shared" si="1"/>
        <v>28.212931599552498</v>
      </c>
      <c r="G29" s="19">
        <f t="shared" si="5"/>
        <v>-1.2427420974599919</v>
      </c>
    </row>
    <row r="31" spans="1:8" ht="34" customHeight="1" x14ac:dyDescent="0.35">
      <c r="A31" s="52" t="s">
        <v>26</v>
      </c>
      <c r="B31" s="51"/>
      <c r="C31" s="51"/>
      <c r="D31" s="51"/>
      <c r="E31" s="20">
        <v>30.66</v>
      </c>
      <c r="F31" s="21"/>
      <c r="G31" s="21"/>
      <c r="H31" s="21"/>
    </row>
    <row r="32" spans="1:8" x14ac:dyDescent="0.35">
      <c r="A32" s="22" t="s">
        <v>27</v>
      </c>
      <c r="B32" s="21"/>
      <c r="C32" s="21"/>
      <c r="D32" s="21"/>
      <c r="E32" s="21"/>
      <c r="F32" s="21"/>
      <c r="G32" s="21"/>
      <c r="H32" s="21"/>
    </row>
    <row r="33" spans="1:8" x14ac:dyDescent="0.35">
      <c r="A33" s="21"/>
      <c r="B33" s="21"/>
      <c r="C33" s="21"/>
      <c r="D33" s="21"/>
      <c r="E33" s="21"/>
      <c r="F33" s="21"/>
      <c r="G33" s="21"/>
      <c r="H33" s="21"/>
    </row>
    <row r="34" spans="1:8" ht="15.5" x14ac:dyDescent="0.35">
      <c r="A34" s="23" t="s">
        <v>28</v>
      </c>
      <c r="B34" s="21"/>
      <c r="C34" s="21"/>
      <c r="D34" s="21"/>
      <c r="E34" s="21"/>
      <c r="F34" s="21"/>
      <c r="G34" s="21"/>
      <c r="H34" s="21"/>
    </row>
    <row r="35" spans="1:8" ht="50.5" customHeight="1" x14ac:dyDescent="0.35">
      <c r="A35" s="50" t="s">
        <v>29</v>
      </c>
      <c r="B35" s="51"/>
      <c r="C35" s="51"/>
      <c r="D35" s="51"/>
      <c r="E35" s="51"/>
      <c r="F35" s="51"/>
      <c r="G35" s="51"/>
      <c r="H35" s="21"/>
    </row>
    <row r="36" spans="1:8" ht="50.5" customHeight="1" x14ac:dyDescent="0.35">
      <c r="A36" s="50" t="s">
        <v>30</v>
      </c>
      <c r="B36" s="51"/>
      <c r="C36" s="51"/>
      <c r="D36" s="51"/>
      <c r="E36" s="51"/>
      <c r="F36" s="51"/>
      <c r="G36" s="51"/>
      <c r="H36" s="21"/>
    </row>
    <row r="37" spans="1:8" ht="50.5" customHeight="1" x14ac:dyDescent="0.35">
      <c r="A37" s="50" t="s">
        <v>31</v>
      </c>
      <c r="B37" s="51"/>
      <c r="C37" s="51"/>
      <c r="D37" s="51"/>
      <c r="E37" s="51"/>
      <c r="F37" s="51"/>
      <c r="G37" s="51"/>
      <c r="H37" s="21"/>
    </row>
    <row r="38" spans="1:8" ht="50.5" customHeight="1" x14ac:dyDescent="0.35">
      <c r="A38" s="50" t="s">
        <v>32</v>
      </c>
      <c r="B38" s="51"/>
      <c r="C38" s="51"/>
      <c r="D38" s="51"/>
      <c r="E38" s="51"/>
      <c r="F38" s="51"/>
      <c r="G38" s="51"/>
      <c r="H38" s="21"/>
    </row>
    <row r="39" spans="1:8" ht="50.5" customHeight="1" x14ac:dyDescent="0.35">
      <c r="A39" s="50" t="s">
        <v>33</v>
      </c>
      <c r="B39" s="51"/>
      <c r="C39" s="51"/>
      <c r="D39" s="51"/>
      <c r="E39" s="51"/>
      <c r="F39" s="51"/>
      <c r="G39" s="51"/>
      <c r="H39" s="21"/>
    </row>
    <row r="40" spans="1:8" ht="35" customHeight="1" x14ac:dyDescent="0.35">
      <c r="A40" s="50" t="s">
        <v>34</v>
      </c>
      <c r="B40" s="51"/>
      <c r="C40" s="51"/>
      <c r="D40" s="51"/>
      <c r="E40" s="51"/>
      <c r="F40" s="51"/>
      <c r="G40" s="51"/>
      <c r="H40" s="21"/>
    </row>
    <row r="41" spans="1:8" ht="19.5" customHeight="1" x14ac:dyDescent="0.35">
      <c r="A41" s="54" t="s">
        <v>35</v>
      </c>
      <c r="B41" s="51"/>
      <c r="C41" s="51"/>
      <c r="D41" s="51"/>
      <c r="E41" s="51"/>
      <c r="F41" s="51"/>
      <c r="G41" s="51"/>
    </row>
  </sheetData>
  <mergeCells count="9">
    <mergeCell ref="A41:G41"/>
    <mergeCell ref="A37:G37"/>
    <mergeCell ref="A36:G36"/>
    <mergeCell ref="A31:D31"/>
    <mergeCell ref="A40:G40"/>
    <mergeCell ref="A2:H2"/>
    <mergeCell ref="A39:G39"/>
    <mergeCell ref="A35:G35"/>
    <mergeCell ref="A38:G38"/>
  </mergeCells>
  <pageMargins left="0.75" right="0.75" top="1" bottom="1" header="0.5" footer="0.5"/>
  <pageSetup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597"/>
    <pageSetUpPr fitToPage="1"/>
  </sheetPr>
  <dimension ref="A1:L35"/>
  <sheetViews>
    <sheetView showGridLines="0" workbookViewId="0"/>
  </sheetViews>
  <sheetFormatPr defaultRowHeight="14.5" x14ac:dyDescent="0.35"/>
  <cols>
    <col min="1" max="1" width="46" customWidth="1"/>
    <col min="2" max="2" width="12" customWidth="1"/>
    <col min="3" max="3" width="3" customWidth="1"/>
    <col min="4" max="4" width="44" customWidth="1"/>
    <col min="5" max="5" width="13" customWidth="1"/>
    <col min="6" max="6" width="3" customWidth="1"/>
    <col min="7" max="7" width="20" customWidth="1"/>
    <col min="8" max="12" width="13" customWidth="1"/>
  </cols>
  <sheetData>
    <row r="1" spans="1:12" ht="28" customHeight="1" x14ac:dyDescent="0.45">
      <c r="A1" s="1" t="s">
        <v>36</v>
      </c>
      <c r="B1" s="2"/>
      <c r="C1" s="2"/>
      <c r="D1" s="2"/>
      <c r="E1" s="2"/>
      <c r="F1" s="2"/>
      <c r="G1" s="2"/>
      <c r="H1" s="2"/>
      <c r="I1" s="2"/>
      <c r="J1" s="2"/>
      <c r="K1" s="2"/>
      <c r="L1" s="2"/>
    </row>
    <row r="2" spans="1:12" ht="34" customHeight="1" x14ac:dyDescent="0.35">
      <c r="A2" s="53" t="s">
        <v>37</v>
      </c>
      <c r="B2" s="51"/>
      <c r="C2" s="51"/>
      <c r="D2" s="51"/>
      <c r="E2" s="51"/>
      <c r="F2" s="51"/>
      <c r="G2" s="51"/>
      <c r="H2" s="51"/>
      <c r="I2" s="51"/>
      <c r="J2" s="51"/>
      <c r="K2" s="51"/>
      <c r="L2" s="51"/>
    </row>
    <row r="3" spans="1:12" x14ac:dyDescent="0.35">
      <c r="A3" s="3" t="s">
        <v>2</v>
      </c>
      <c r="B3" s="4" t="s">
        <v>3</v>
      </c>
      <c r="E3" s="24" t="s">
        <v>38</v>
      </c>
      <c r="G3" s="5" t="s">
        <v>4</v>
      </c>
    </row>
    <row r="5" spans="1:12" x14ac:dyDescent="0.35">
      <c r="A5" s="6" t="s">
        <v>39</v>
      </c>
      <c r="B5" s="7"/>
      <c r="D5" s="6" t="s">
        <v>40</v>
      </c>
      <c r="E5" s="7"/>
      <c r="G5" s="25" t="s">
        <v>41</v>
      </c>
    </row>
    <row r="6" spans="1:12" x14ac:dyDescent="0.35">
      <c r="A6" s="9" t="s">
        <v>42</v>
      </c>
      <c r="B6" s="26">
        <v>6300</v>
      </c>
      <c r="D6" s="9" t="s">
        <v>43</v>
      </c>
      <c r="E6" s="13">
        <v>0.04</v>
      </c>
      <c r="G6" s="16" t="s">
        <v>44</v>
      </c>
      <c r="H6" s="17" t="s">
        <v>45</v>
      </c>
    </row>
    <row r="7" spans="1:12" x14ac:dyDescent="0.35">
      <c r="A7" s="9" t="s">
        <v>46</v>
      </c>
      <c r="B7" s="12">
        <v>0.7</v>
      </c>
      <c r="D7" s="9" t="s">
        <v>47</v>
      </c>
      <c r="E7" s="27">
        <f>B10*E6</f>
        <v>1000</v>
      </c>
      <c r="G7" s="28" t="s">
        <v>48</v>
      </c>
      <c r="H7" s="29">
        <f>E15</f>
        <v>4200</v>
      </c>
    </row>
    <row r="8" spans="1:12" x14ac:dyDescent="0.35">
      <c r="G8" s="30">
        <v>5000</v>
      </c>
      <c r="H8" s="29">
        <f t="dataTable" ref="H8:H15" dt2D="0" dtr="0" r1="B10"/>
        <v>-4200</v>
      </c>
    </row>
    <row r="9" spans="1:12" x14ac:dyDescent="0.35">
      <c r="A9" s="31" t="s">
        <v>49</v>
      </c>
      <c r="B9" s="32"/>
      <c r="D9" s="14" t="s">
        <v>50</v>
      </c>
      <c r="E9" s="15"/>
      <c r="G9" s="30">
        <v>10000</v>
      </c>
      <c r="H9" s="29">
        <v>-2100</v>
      </c>
    </row>
    <row r="10" spans="1:12" x14ac:dyDescent="0.35">
      <c r="A10" s="9" t="s">
        <v>51</v>
      </c>
      <c r="B10" s="33">
        <v>25000</v>
      </c>
      <c r="D10" s="9" t="s">
        <v>52</v>
      </c>
      <c r="E10" s="29">
        <f>E7*B13</f>
        <v>60000</v>
      </c>
      <c r="G10" s="30">
        <v>15000</v>
      </c>
      <c r="H10" s="29">
        <v>0</v>
      </c>
    </row>
    <row r="11" spans="1:12" x14ac:dyDescent="0.35">
      <c r="D11" s="9" t="s">
        <v>53</v>
      </c>
      <c r="E11" s="29">
        <f>B6</f>
        <v>6300</v>
      </c>
      <c r="G11" s="30">
        <v>20000</v>
      </c>
      <c r="H11" s="29">
        <v>2100</v>
      </c>
    </row>
    <row r="12" spans="1:12" x14ac:dyDescent="0.35">
      <c r="A12" s="6" t="s">
        <v>54</v>
      </c>
      <c r="B12" s="7"/>
      <c r="D12" s="9" t="s">
        <v>55</v>
      </c>
      <c r="E12" s="29">
        <f>B7*B10</f>
        <v>17500</v>
      </c>
      <c r="G12" s="30">
        <v>25000</v>
      </c>
      <c r="H12" s="29">
        <v>4200</v>
      </c>
    </row>
    <row r="13" spans="1:12" x14ac:dyDescent="0.35">
      <c r="A13" s="9" t="s">
        <v>56</v>
      </c>
      <c r="B13" s="12">
        <v>60</v>
      </c>
      <c r="D13" s="9" t="s">
        <v>57</v>
      </c>
      <c r="E13" s="29">
        <f>B14*E7</f>
        <v>32000</v>
      </c>
      <c r="G13" s="30">
        <v>30000</v>
      </c>
      <c r="H13" s="29">
        <v>6300</v>
      </c>
    </row>
    <row r="14" spans="1:12" x14ac:dyDescent="0.35">
      <c r="A14" s="9" t="s">
        <v>58</v>
      </c>
      <c r="B14" s="12">
        <v>32</v>
      </c>
      <c r="D14" s="9" t="s">
        <v>59</v>
      </c>
      <c r="E14" s="29">
        <f>SUM(E11:E13)</f>
        <v>55800</v>
      </c>
      <c r="G14" s="30">
        <v>35000</v>
      </c>
      <c r="H14" s="29">
        <v>8400</v>
      </c>
    </row>
    <row r="15" spans="1:12" x14ac:dyDescent="0.35">
      <c r="D15" s="3" t="s">
        <v>45</v>
      </c>
      <c r="E15" s="34">
        <f>E10-E14</f>
        <v>4200</v>
      </c>
      <c r="G15" s="30">
        <v>40000</v>
      </c>
      <c r="H15" s="29">
        <v>10500</v>
      </c>
    </row>
    <row r="17" spans="1:12" x14ac:dyDescent="0.35">
      <c r="D17" s="14" t="s">
        <v>60</v>
      </c>
      <c r="E17" s="15"/>
    </row>
    <row r="18" spans="1:12" x14ac:dyDescent="0.35">
      <c r="D18" s="9" t="s">
        <v>61</v>
      </c>
      <c r="E18" s="19">
        <f>B13-B14</f>
        <v>28</v>
      </c>
      <c r="G18" s="25" t="s">
        <v>62</v>
      </c>
    </row>
    <row r="19" spans="1:12" x14ac:dyDescent="0.35">
      <c r="D19" s="9" t="s">
        <v>63</v>
      </c>
      <c r="E19" s="35">
        <f>E6*E18-B7</f>
        <v>0.42000000000000015</v>
      </c>
      <c r="G19" s="29">
        <f>E15</f>
        <v>4200</v>
      </c>
      <c r="H19" s="36">
        <v>10000</v>
      </c>
      <c r="I19" s="36">
        <v>15000</v>
      </c>
      <c r="J19" s="36">
        <v>25000</v>
      </c>
      <c r="K19" s="36">
        <v>40000</v>
      </c>
      <c r="L19" s="36">
        <v>60000</v>
      </c>
    </row>
    <row r="20" spans="1:12" x14ac:dyDescent="0.35">
      <c r="D20" s="9" t="s">
        <v>64</v>
      </c>
      <c r="E20" s="27">
        <f>B6/E19</f>
        <v>14999.999999999995</v>
      </c>
      <c r="G20" s="37">
        <v>0.02</v>
      </c>
      <c r="H20" s="29">
        <f t="dataTable" ref="H20:L24" dt2D="1" dtr="1" r1="B10" r2="E6"/>
        <v>-7700</v>
      </c>
      <c r="I20" s="29">
        <v>-8400</v>
      </c>
      <c r="J20" s="29">
        <v>-9800</v>
      </c>
      <c r="K20" s="29">
        <v>-11900</v>
      </c>
      <c r="L20" s="29">
        <v>-14700</v>
      </c>
    </row>
    <row r="21" spans="1:12" x14ac:dyDescent="0.35">
      <c r="D21" s="9" t="s">
        <v>65</v>
      </c>
      <c r="E21" s="38">
        <f>(B6+E12)/(B10*E18)</f>
        <v>3.4000000000000002E-2</v>
      </c>
      <c r="G21" s="37">
        <v>0.03</v>
      </c>
      <c r="H21" s="29">
        <v>-4900</v>
      </c>
      <c r="I21" s="29">
        <v>-4200</v>
      </c>
      <c r="J21" s="29">
        <v>-2800</v>
      </c>
      <c r="K21" s="29">
        <v>-700</v>
      </c>
      <c r="L21" s="29">
        <v>2100</v>
      </c>
    </row>
    <row r="22" spans="1:12" x14ac:dyDescent="0.35">
      <c r="D22" s="9" t="s">
        <v>66</v>
      </c>
      <c r="E22" s="19">
        <f>B14+(B6+E12)/E7</f>
        <v>55.8</v>
      </c>
      <c r="G22" s="37">
        <v>0.04</v>
      </c>
      <c r="H22" s="29">
        <v>-2100</v>
      </c>
      <c r="I22" s="29">
        <v>0</v>
      </c>
      <c r="J22" s="29">
        <v>4200</v>
      </c>
      <c r="K22" s="29">
        <v>10500</v>
      </c>
      <c r="L22" s="29">
        <v>18900</v>
      </c>
    </row>
    <row r="23" spans="1:12" x14ac:dyDescent="0.35">
      <c r="G23" s="37">
        <v>0.05</v>
      </c>
      <c r="H23" s="29">
        <v>700</v>
      </c>
      <c r="I23" s="29">
        <v>4200</v>
      </c>
      <c r="J23" s="29">
        <v>11200</v>
      </c>
      <c r="K23" s="29">
        <v>21700</v>
      </c>
      <c r="L23" s="29">
        <v>35700</v>
      </c>
    </row>
    <row r="24" spans="1:12" x14ac:dyDescent="0.35">
      <c r="D24" s="21"/>
      <c r="E24" s="21"/>
      <c r="G24" s="37">
        <v>0.06</v>
      </c>
      <c r="H24" s="29">
        <v>3500</v>
      </c>
      <c r="I24" s="29">
        <v>8400</v>
      </c>
      <c r="J24" s="29">
        <v>18200</v>
      </c>
      <c r="K24" s="29">
        <v>32900</v>
      </c>
      <c r="L24" s="29">
        <v>52500</v>
      </c>
    </row>
    <row r="25" spans="1:12" ht="34" customHeight="1" x14ac:dyDescent="0.35">
      <c r="A25" s="39" t="s">
        <v>67</v>
      </c>
      <c r="B25" s="34">
        <v>-800</v>
      </c>
      <c r="D25" s="21"/>
      <c r="E25" s="21"/>
    </row>
    <row r="26" spans="1:12" x14ac:dyDescent="0.35">
      <c r="A26" s="40" t="s">
        <v>68</v>
      </c>
      <c r="D26" s="21"/>
      <c r="E26" s="21"/>
      <c r="G26" s="21"/>
      <c r="H26" s="21"/>
      <c r="I26" s="21"/>
      <c r="J26" s="21"/>
      <c r="K26" s="21"/>
      <c r="L26" s="21"/>
    </row>
    <row r="27" spans="1:12" x14ac:dyDescent="0.35">
      <c r="D27" s="21"/>
      <c r="E27" s="21"/>
    </row>
    <row r="28" spans="1:12" ht="15.5" x14ac:dyDescent="0.35">
      <c r="A28" s="41" t="s">
        <v>69</v>
      </c>
      <c r="D28" s="21"/>
      <c r="E28" s="21"/>
    </row>
    <row r="29" spans="1:12" ht="19.5" customHeight="1" x14ac:dyDescent="0.35">
      <c r="A29" s="54" t="s">
        <v>70</v>
      </c>
      <c r="B29" s="51"/>
      <c r="C29" s="51"/>
      <c r="D29" s="51"/>
      <c r="E29" s="51"/>
      <c r="F29" s="51"/>
      <c r="G29" s="51"/>
      <c r="H29" s="51"/>
      <c r="I29" s="51"/>
      <c r="J29" s="51"/>
      <c r="K29" s="51"/>
      <c r="L29" s="51"/>
    </row>
    <row r="30" spans="1:12" ht="50.5" customHeight="1" x14ac:dyDescent="0.35">
      <c r="A30" s="54" t="s">
        <v>71</v>
      </c>
      <c r="B30" s="51"/>
      <c r="C30" s="51"/>
      <c r="D30" s="51"/>
      <c r="E30" s="51"/>
      <c r="F30" s="51"/>
      <c r="G30" s="51"/>
      <c r="H30" s="51"/>
      <c r="I30" s="51"/>
      <c r="J30" s="51"/>
      <c r="K30" s="51"/>
      <c r="L30" s="51"/>
    </row>
    <row r="31" spans="1:12" ht="66" customHeight="1" x14ac:dyDescent="0.35">
      <c r="A31" s="54" t="s">
        <v>72</v>
      </c>
      <c r="B31" s="51"/>
      <c r="C31" s="51"/>
      <c r="D31" s="51"/>
      <c r="E31" s="51"/>
      <c r="F31" s="51"/>
      <c r="G31" s="51"/>
      <c r="H31" s="51"/>
      <c r="I31" s="51"/>
      <c r="J31" s="51"/>
      <c r="K31" s="51"/>
      <c r="L31" s="51"/>
    </row>
    <row r="32" spans="1:12" ht="35" customHeight="1" x14ac:dyDescent="0.35">
      <c r="A32" s="54" t="s">
        <v>73</v>
      </c>
      <c r="B32" s="51"/>
      <c r="C32" s="51"/>
      <c r="D32" s="51"/>
      <c r="E32" s="51"/>
      <c r="F32" s="51"/>
      <c r="G32" s="51"/>
      <c r="H32" s="51"/>
      <c r="I32" s="51"/>
      <c r="J32" s="51"/>
      <c r="K32" s="51"/>
      <c r="L32" s="51"/>
    </row>
    <row r="33" spans="1:12" ht="35" customHeight="1" x14ac:dyDescent="0.35">
      <c r="A33" s="54" t="s">
        <v>74</v>
      </c>
      <c r="B33" s="51"/>
      <c r="C33" s="51"/>
      <c r="D33" s="51"/>
      <c r="E33" s="51"/>
      <c r="F33" s="51"/>
      <c r="G33" s="51"/>
      <c r="H33" s="51"/>
      <c r="I33" s="51"/>
      <c r="J33" s="51"/>
      <c r="K33" s="51"/>
      <c r="L33" s="51"/>
    </row>
    <row r="34" spans="1:12" ht="35" customHeight="1" x14ac:dyDescent="0.35">
      <c r="A34" s="54" t="s">
        <v>75</v>
      </c>
      <c r="B34" s="51"/>
      <c r="C34" s="51"/>
      <c r="D34" s="51"/>
      <c r="E34" s="51"/>
      <c r="F34" s="51"/>
      <c r="G34" s="51"/>
      <c r="H34" s="51"/>
      <c r="I34" s="51"/>
      <c r="J34" s="51"/>
      <c r="K34" s="51"/>
      <c r="L34" s="51"/>
    </row>
    <row r="35" spans="1:12" ht="19.5" customHeight="1" x14ac:dyDescent="0.35">
      <c r="A35" s="54" t="s">
        <v>76</v>
      </c>
      <c r="B35" s="51"/>
      <c r="C35" s="51"/>
      <c r="D35" s="51"/>
      <c r="E35" s="51"/>
      <c r="F35" s="51"/>
      <c r="G35" s="51"/>
      <c r="H35" s="51"/>
      <c r="I35" s="51"/>
      <c r="J35" s="51"/>
      <c r="K35" s="51"/>
      <c r="L35" s="51"/>
    </row>
  </sheetData>
  <mergeCells count="8">
    <mergeCell ref="A34:L34"/>
    <mergeCell ref="A35:L35"/>
    <mergeCell ref="A30:L30"/>
    <mergeCell ref="A2:L2"/>
    <mergeCell ref="A29:L29"/>
    <mergeCell ref="A33:L33"/>
    <mergeCell ref="A32:L32"/>
    <mergeCell ref="A31:L31"/>
  </mergeCell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pageSetUpPr fitToPage="1"/>
  </sheetPr>
  <dimension ref="A1:F31"/>
  <sheetViews>
    <sheetView showGridLines="0" tabSelected="1" topLeftCell="A23" workbookViewId="0"/>
  </sheetViews>
  <sheetFormatPr defaultRowHeight="14.5" x14ac:dyDescent="0.35"/>
  <cols>
    <col min="1" max="1" width="6" customWidth="1"/>
    <col min="2" max="3" width="36" customWidth="1"/>
    <col min="4" max="4" width="20" customWidth="1"/>
    <col min="5" max="5" width="12" customWidth="1"/>
    <col min="6" max="6" width="44" customWidth="1"/>
  </cols>
  <sheetData>
    <row r="1" spans="1:6" ht="28" customHeight="1" x14ac:dyDescent="0.45">
      <c r="A1" s="1" t="s">
        <v>77</v>
      </c>
      <c r="B1" s="2"/>
      <c r="C1" s="2"/>
      <c r="D1" s="2"/>
      <c r="E1" s="2"/>
      <c r="F1" s="2"/>
    </row>
    <row r="2" spans="1:6" ht="32" customHeight="1" x14ac:dyDescent="0.35">
      <c r="A2" s="53" t="s">
        <v>78</v>
      </c>
      <c r="B2" s="51"/>
      <c r="C2" s="51"/>
      <c r="D2" s="51"/>
      <c r="E2" s="51"/>
      <c r="F2" s="51"/>
    </row>
    <row r="3" spans="1:6" ht="62" customHeight="1" x14ac:dyDescent="0.35">
      <c r="A3" s="62" t="s">
        <v>79</v>
      </c>
      <c r="B3" s="51"/>
      <c r="C3" s="51"/>
      <c r="D3" s="51"/>
      <c r="E3" s="51"/>
      <c r="F3" s="51"/>
    </row>
    <row r="4" spans="1:6" x14ac:dyDescent="0.35">
      <c r="A4" s="25" t="s">
        <v>80</v>
      </c>
    </row>
    <row r="5" spans="1:6" x14ac:dyDescent="0.35">
      <c r="B5" s="57" t="s">
        <v>81</v>
      </c>
      <c r="C5" s="51"/>
      <c r="D5" s="55" t="s">
        <v>148</v>
      </c>
      <c r="E5" s="56"/>
    </row>
    <row r="6" spans="1:6" x14ac:dyDescent="0.35">
      <c r="B6" s="57" t="s">
        <v>82</v>
      </c>
      <c r="C6" s="51"/>
      <c r="D6" s="79">
        <v>46308</v>
      </c>
      <c r="E6" s="56"/>
    </row>
    <row r="8" spans="1:6" x14ac:dyDescent="0.35">
      <c r="A8" s="25" t="s">
        <v>83</v>
      </c>
    </row>
    <row r="9" spans="1:6" x14ac:dyDescent="0.35">
      <c r="A9" s="42"/>
      <c r="B9" s="42" t="s">
        <v>84</v>
      </c>
      <c r="C9" s="42" t="s">
        <v>85</v>
      </c>
      <c r="D9" s="59" t="s">
        <v>86</v>
      </c>
      <c r="E9" s="60"/>
      <c r="F9" s="61"/>
    </row>
    <row r="10" spans="1:6" ht="62" customHeight="1" x14ac:dyDescent="0.35">
      <c r="A10" s="44" t="s">
        <v>87</v>
      </c>
      <c r="B10" s="45" t="s">
        <v>88</v>
      </c>
      <c r="C10" s="46" t="s">
        <v>89</v>
      </c>
      <c r="D10" s="58" t="s">
        <v>149</v>
      </c>
      <c r="E10" s="56"/>
      <c r="F10" s="56"/>
    </row>
    <row r="11" spans="1:6" ht="62" customHeight="1" x14ac:dyDescent="0.35">
      <c r="A11" s="44" t="s">
        <v>90</v>
      </c>
      <c r="B11" s="45" t="s">
        <v>91</v>
      </c>
      <c r="C11" s="46" t="s">
        <v>92</v>
      </c>
      <c r="D11" s="58" t="s">
        <v>150</v>
      </c>
      <c r="E11" s="56"/>
      <c r="F11" s="56"/>
    </row>
    <row r="12" spans="1:6" ht="62" customHeight="1" x14ac:dyDescent="0.35">
      <c r="A12" s="44" t="s">
        <v>93</v>
      </c>
      <c r="B12" s="45" t="s">
        <v>94</v>
      </c>
      <c r="C12" s="46" t="s">
        <v>95</v>
      </c>
      <c r="D12" s="58" t="s">
        <v>151</v>
      </c>
      <c r="E12" s="56"/>
      <c r="F12" s="56"/>
    </row>
    <row r="13" spans="1:6" ht="62" customHeight="1" x14ac:dyDescent="0.35">
      <c r="A13" s="44" t="s">
        <v>96</v>
      </c>
      <c r="B13" s="45" t="s">
        <v>97</v>
      </c>
      <c r="C13" s="46" t="s">
        <v>98</v>
      </c>
      <c r="D13" s="58" t="s">
        <v>152</v>
      </c>
      <c r="E13" s="56"/>
      <c r="F13" s="56"/>
    </row>
    <row r="14" spans="1:6" ht="62" customHeight="1" x14ac:dyDescent="0.35">
      <c r="A14" s="44" t="s">
        <v>99</v>
      </c>
      <c r="B14" s="45" t="s">
        <v>100</v>
      </c>
      <c r="C14" s="46" t="s">
        <v>101</v>
      </c>
      <c r="D14" s="58" t="s">
        <v>153</v>
      </c>
      <c r="E14" s="56"/>
      <c r="F14" s="56"/>
    </row>
    <row r="16" spans="1:6" x14ac:dyDescent="0.35">
      <c r="A16" s="25" t="s">
        <v>102</v>
      </c>
    </row>
    <row r="17" spans="1:6" ht="120" customHeight="1" x14ac:dyDescent="0.35">
      <c r="B17" s="58" t="s">
        <v>154</v>
      </c>
      <c r="C17" s="56"/>
      <c r="D17" s="56"/>
      <c r="E17" s="56"/>
      <c r="F17" s="56"/>
    </row>
    <row r="19" spans="1:6" x14ac:dyDescent="0.35">
      <c r="A19" s="25" t="s">
        <v>103</v>
      </c>
    </row>
    <row r="20" spans="1:6" ht="32" customHeight="1" x14ac:dyDescent="0.35">
      <c r="A20" s="48" t="s">
        <v>104</v>
      </c>
      <c r="B20" s="48" t="s">
        <v>105</v>
      </c>
      <c r="C20" s="48" t="s">
        <v>106</v>
      </c>
      <c r="D20" s="48" t="s">
        <v>107</v>
      </c>
      <c r="E20" s="48" t="s">
        <v>108</v>
      </c>
      <c r="F20" s="48" t="s">
        <v>109</v>
      </c>
    </row>
    <row r="21" spans="1:6" ht="30" customHeight="1" x14ac:dyDescent="0.35">
      <c r="A21" s="49" t="s">
        <v>110</v>
      </c>
      <c r="B21" s="49" t="s">
        <v>111</v>
      </c>
      <c r="C21" s="49" t="s">
        <v>112</v>
      </c>
      <c r="D21" s="49" t="s">
        <v>113</v>
      </c>
      <c r="E21" s="49" t="s">
        <v>114</v>
      </c>
      <c r="F21" s="49" t="s">
        <v>115</v>
      </c>
    </row>
    <row r="22" spans="1:6" ht="36" customHeight="1" x14ac:dyDescent="0.35">
      <c r="A22" s="44">
        <v>1</v>
      </c>
      <c r="B22" s="47" t="s">
        <v>155</v>
      </c>
      <c r="C22" s="47" t="s">
        <v>131</v>
      </c>
      <c r="D22" s="80">
        <v>29.46</v>
      </c>
      <c r="E22" s="47" t="s">
        <v>114</v>
      </c>
      <c r="F22" s="47"/>
    </row>
    <row r="23" spans="1:6" ht="36" customHeight="1" x14ac:dyDescent="0.35">
      <c r="A23" s="44">
        <v>2</v>
      </c>
      <c r="B23" s="47" t="s">
        <v>156</v>
      </c>
      <c r="C23" s="47" t="s">
        <v>137</v>
      </c>
      <c r="D23" s="81">
        <v>4200</v>
      </c>
      <c r="E23" s="47" t="s">
        <v>114</v>
      </c>
      <c r="F23" s="47"/>
    </row>
    <row r="24" spans="1:6" ht="36" customHeight="1" x14ac:dyDescent="0.35">
      <c r="A24" s="44">
        <v>3</v>
      </c>
      <c r="B24" s="47" t="s">
        <v>157</v>
      </c>
      <c r="C24" s="47" t="s">
        <v>138</v>
      </c>
      <c r="D24" s="82">
        <v>15000</v>
      </c>
      <c r="E24" s="47" t="s">
        <v>114</v>
      </c>
      <c r="F24" s="47"/>
    </row>
    <row r="26" spans="1:6" x14ac:dyDescent="0.35">
      <c r="A26" s="25" t="s">
        <v>116</v>
      </c>
    </row>
    <row r="27" spans="1:6" x14ac:dyDescent="0.35">
      <c r="B27" s="86" t="s">
        <v>117</v>
      </c>
    </row>
    <row r="28" spans="1:6" ht="70" customHeight="1" x14ac:dyDescent="0.35">
      <c r="B28" s="58" t="s">
        <v>159</v>
      </c>
      <c r="C28" s="56"/>
      <c r="D28" s="56"/>
      <c r="E28" s="56"/>
      <c r="F28" s="56"/>
    </row>
    <row r="30" spans="1:6" x14ac:dyDescent="0.35">
      <c r="A30" s="25" t="s">
        <v>118</v>
      </c>
    </row>
    <row r="31" spans="1:6" ht="45" customHeight="1" x14ac:dyDescent="0.35">
      <c r="B31" s="83" t="s">
        <v>158</v>
      </c>
      <c r="C31" s="84"/>
      <c r="D31" s="84"/>
      <c r="E31" s="84"/>
      <c r="F31" s="85"/>
    </row>
  </sheetData>
  <mergeCells count="15">
    <mergeCell ref="B31:F31"/>
    <mergeCell ref="A3:F3"/>
    <mergeCell ref="B17:F17"/>
    <mergeCell ref="D10:F10"/>
    <mergeCell ref="D14:F14"/>
    <mergeCell ref="B5:C5"/>
    <mergeCell ref="B28:F28"/>
    <mergeCell ref="D5:E5"/>
    <mergeCell ref="D12:F12"/>
    <mergeCell ref="D9:F9"/>
    <mergeCell ref="D6:E6"/>
    <mergeCell ref="B6:C6"/>
    <mergeCell ref="A2:F2"/>
    <mergeCell ref="D11:F11"/>
    <mergeCell ref="D13:F13"/>
  </mergeCell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D3160-0B3E-47E4-AC4A-53506BAB2BA3}">
  <sheetPr>
    <pageSetUpPr fitToPage="1"/>
  </sheetPr>
  <dimension ref="A1:F27"/>
  <sheetViews>
    <sheetView workbookViewId="0"/>
  </sheetViews>
  <sheetFormatPr defaultRowHeight="14.5" x14ac:dyDescent="0.35"/>
  <cols>
    <col min="1" max="1" width="60" customWidth="1"/>
    <col min="2" max="2" width="14.54296875" customWidth="1"/>
    <col min="3" max="3" width="29.08984375" customWidth="1"/>
    <col min="4" max="6" width="12.7265625" customWidth="1"/>
  </cols>
  <sheetData>
    <row r="1" spans="1:6" ht="19.5" x14ac:dyDescent="0.45">
      <c r="A1" s="64" t="s">
        <v>119</v>
      </c>
      <c r="B1" s="63"/>
      <c r="C1" s="63"/>
      <c r="D1" s="63"/>
      <c r="E1" s="63"/>
      <c r="F1" s="63"/>
    </row>
    <row r="2" spans="1:6" x14ac:dyDescent="0.35">
      <c r="A2" s="65" t="s">
        <v>120</v>
      </c>
    </row>
    <row r="4" spans="1:6" x14ac:dyDescent="0.35">
      <c r="A4" s="66" t="s">
        <v>121</v>
      </c>
      <c r="B4" s="66"/>
      <c r="C4" s="66"/>
      <c r="D4" s="66"/>
      <c r="E4" s="66"/>
      <c r="F4" s="66"/>
    </row>
    <row r="5" spans="1:6" ht="32" customHeight="1" x14ac:dyDescent="0.35">
      <c r="A5" s="70" t="str">
        <f>"• Recycled fabric costs "&amp;TEXT('Cost Projection'!G24,"$0.00")&amp;" more per hoodie today, but is cheaper from year "&amp;B15&amp;" on and "&amp;TEXT(-'Cost Projection'!G29,"$0.00")&amp;" cheaper by year 5, because cotton prices rise faster."</f>
        <v>• Recycled fabric costs $1.15 more per hoodie today, but is cheaper from year 3 on and $1.24 cheaper by year 5, because cotton prices rise faster.</v>
      </c>
      <c r="B5" s="70"/>
      <c r="C5" s="70"/>
      <c r="D5" s="70"/>
      <c r="E5" s="70"/>
      <c r="F5" s="70"/>
    </row>
    <row r="6" spans="1:6" ht="32" customHeight="1" x14ac:dyDescent="0.35">
      <c r="A6" s="70" t="str">
        <f>"• The Instagram campaign is projected to earn "&amp;TEXT('Break-even'!E15,"$#,##0")&amp;" profit on "&amp;TEXT('Break-even'!B10,"#,##0")&amp;" clicks, and breaks even at "&amp;TEXT('Break-even'!E20,"#,##0")&amp;" clicks."</f>
        <v>• The Instagram campaign is projected to earn $4,200 profit on 25,000 clicks, and breaks even at 15,000 clicks.</v>
      </c>
      <c r="B6" s="70"/>
      <c r="C6" s="70"/>
      <c r="D6" s="70"/>
      <c r="E6" s="70"/>
      <c r="F6" s="70"/>
    </row>
    <row r="7" spans="1:6" ht="32" customHeight="1" x14ac:dyDescent="0.35">
      <c r="A7" s="70" t="str">
        <f>"• The profit is thin: at "&amp;TEXT('Break-even'!G21,"0%")&amp;" conversion instead of "&amp;TEXT('Break-even'!E6,"0%")&amp;" the campaign loses "&amp;TEXT(-'Break-even'!J21,"$#,##0")&amp;"; break-even conversion is "&amp;TEXT('Break-even'!E21,"0.0%")&amp;"."</f>
        <v>• The profit is thin: at 3% conversion instead of 4% the campaign loses $2,800; break-even conversion is 3.4%.</v>
      </c>
      <c r="B7" s="70"/>
      <c r="C7" s="70"/>
      <c r="D7" s="70"/>
      <c r="E7" s="70"/>
      <c r="F7" s="70"/>
    </row>
    <row r="9" spans="1:6" x14ac:dyDescent="0.35">
      <c r="A9" s="66" t="s">
        <v>122</v>
      </c>
      <c r="B9" s="66"/>
      <c r="C9" s="66"/>
      <c r="D9" s="66"/>
      <c r="E9" s="66"/>
      <c r="F9" s="66"/>
    </row>
    <row r="10" spans="1:6" x14ac:dyDescent="0.35">
      <c r="A10" s="67" t="s">
        <v>123</v>
      </c>
      <c r="B10" s="67" t="s">
        <v>124</v>
      </c>
      <c r="C10" s="67" t="s">
        <v>125</v>
      </c>
    </row>
    <row r="11" spans="1:6" x14ac:dyDescent="0.35">
      <c r="A11" s="68" t="s">
        <v>126</v>
      </c>
      <c r="B11" s="72">
        <f>'Cost Projection'!E24</f>
        <v>25</v>
      </c>
      <c r="C11" s="68" t="s">
        <v>127</v>
      </c>
    </row>
    <row r="12" spans="1:6" x14ac:dyDescent="0.35">
      <c r="A12" s="43" t="s">
        <v>128</v>
      </c>
      <c r="B12" s="73">
        <f>'Cost Projection'!F24</f>
        <v>26.150000000000002</v>
      </c>
      <c r="C12" s="43" t="s">
        <v>129</v>
      </c>
    </row>
    <row r="13" spans="1:6" x14ac:dyDescent="0.35">
      <c r="A13" s="43" t="s">
        <v>130</v>
      </c>
      <c r="B13" s="73">
        <f>'Cost Projection'!E29</f>
        <v>29.455673697012489</v>
      </c>
      <c r="C13" s="43" t="s">
        <v>131</v>
      </c>
    </row>
    <row r="14" spans="1:6" x14ac:dyDescent="0.35">
      <c r="A14" s="43" t="s">
        <v>132</v>
      </c>
      <c r="B14" s="73">
        <f>'Cost Projection'!F29</f>
        <v>28.212931599552498</v>
      </c>
      <c r="C14" s="43" t="s">
        <v>133</v>
      </c>
    </row>
    <row r="15" spans="1:6" x14ac:dyDescent="0.35">
      <c r="A15" s="43" t="s">
        <v>134</v>
      </c>
      <c r="B15" s="74" cm="1">
        <f t="array" ref="B15">INDEX('Cost Projection'!A24:A29,MATCH(TRUE,INDEX('Cost Projection'!G24:G29&lt;0,0),0))</f>
        <v>3</v>
      </c>
      <c r="C15" s="43" t="s">
        <v>135</v>
      </c>
    </row>
    <row r="16" spans="1:6" x14ac:dyDescent="0.35">
      <c r="A16" s="43" t="s">
        <v>136</v>
      </c>
      <c r="B16" s="75">
        <f>'Break-even'!E15</f>
        <v>4200</v>
      </c>
      <c r="C16" s="43" t="s">
        <v>137</v>
      </c>
    </row>
    <row r="17" spans="1:6" x14ac:dyDescent="0.35">
      <c r="A17" s="43" t="s">
        <v>64</v>
      </c>
      <c r="B17" s="76">
        <f>'Break-even'!E20</f>
        <v>14999.999999999995</v>
      </c>
      <c r="C17" s="43" t="s">
        <v>138</v>
      </c>
    </row>
    <row r="18" spans="1:6" x14ac:dyDescent="0.35">
      <c r="A18" s="43" t="s">
        <v>65</v>
      </c>
      <c r="B18" s="77">
        <f>'Break-even'!E21</f>
        <v>3.4000000000000002E-2</v>
      </c>
      <c r="C18" s="43" t="s">
        <v>139</v>
      </c>
    </row>
    <row r="19" spans="1:6" x14ac:dyDescent="0.35">
      <c r="A19" s="43" t="s">
        <v>66</v>
      </c>
      <c r="B19" s="73">
        <f>'Break-even'!E22</f>
        <v>55.8</v>
      </c>
      <c r="C19" s="43" t="s">
        <v>140</v>
      </c>
    </row>
    <row r="20" spans="1:6" x14ac:dyDescent="0.35">
      <c r="A20" s="69" t="s">
        <v>141</v>
      </c>
      <c r="B20" s="78">
        <f>'Break-even'!J21</f>
        <v>-2800</v>
      </c>
      <c r="C20" s="69" t="s">
        <v>142</v>
      </c>
    </row>
    <row r="22" spans="1:6" x14ac:dyDescent="0.35">
      <c r="A22" s="66" t="s">
        <v>143</v>
      </c>
      <c r="B22" s="66"/>
      <c r="C22" s="66"/>
      <c r="D22" s="66"/>
      <c r="E22" s="66"/>
      <c r="F22" s="66"/>
    </row>
    <row r="23" spans="1:6" ht="32" customHeight="1" x14ac:dyDescent="0.35">
      <c r="A23" s="70" t="str">
        <f>"1. Switch to recycled fabric if you expect to make this hoodie for "&amp;B15&amp;" or more years: it costs "&amp;TEXT('Cost Projection'!G24,"$0.00")&amp;" more now but is cheaper from year "&amp;B15&amp;" and the gap widens."</f>
        <v>1. Switch to recycled fabric if you expect to make this hoodie for 3 or more years: it costs $1.15 more now but is cheaper from year 3 and the gap widens.</v>
      </c>
      <c r="B23" s="70"/>
      <c r="C23" s="70"/>
      <c r="D23" s="70"/>
      <c r="E23" s="70"/>
      <c r="F23" s="70"/>
    </row>
    <row r="24" spans="1:6" ht="32" customHeight="1" x14ac:dyDescent="0.35">
      <c r="A24" s="70" t="str">
        <f>"2. Run the campaign, but test a smaller click purchase first to measure the real conversion rate; profit disappears below about "&amp;TEXT('Break-even'!E21,"0.0%")&amp;"."</f>
        <v>2. Run the campaign, but test a smaller click purchase first to measure the real conversion rate; profit disappears below about 3.4%.</v>
      </c>
      <c r="B24" s="70"/>
      <c r="C24" s="70"/>
      <c r="D24" s="70"/>
      <c r="E24" s="70"/>
      <c r="F24" s="70"/>
    </row>
    <row r="25" spans="1:6" ht="32" customHeight="1" x14ac:dyDescent="0.35">
      <c r="A25" s="70" t="str">
        <f>"3. Protect the margin: keep the average order near "&amp;TEXT('Break-even'!B13,"$0")&amp;" (break-even is about "&amp;TEXT('Break-even'!E22,"$0.00")&amp;") and watch the cost per click."</f>
        <v>3. Protect the margin: keep the average order near $60 (break-even is about $55.80) and watch the cost per click.</v>
      </c>
      <c r="B25" s="70"/>
      <c r="C25" s="70"/>
      <c r="D25" s="70"/>
      <c r="E25" s="70"/>
      <c r="F25" s="70"/>
    </row>
    <row r="27" spans="1:6" ht="32" customHeight="1" x14ac:dyDescent="0.35">
      <c r="A27" s="71" t="s">
        <v>147</v>
      </c>
      <c r="B27" s="71"/>
      <c r="C27" s="71"/>
      <c r="D27" s="71"/>
      <c r="E27" s="71"/>
      <c r="F27" s="71"/>
    </row>
  </sheetData>
  <mergeCells count="7">
    <mergeCell ref="A27:F27"/>
    <mergeCell ref="A5:F5"/>
    <mergeCell ref="A6:F6"/>
    <mergeCell ref="A7:F7"/>
    <mergeCell ref="A23:F23"/>
    <mergeCell ref="A24:F24"/>
    <mergeCell ref="A25:F25"/>
  </mergeCells>
  <pageMargins left="0.7" right="0.7" top="0.75" bottom="0.75" header="0.3" footer="0.3"/>
  <pageSetup orientation="portrait" fitToWidth="1" fitToHeight="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Cost Projection</vt:lpstr>
      <vt:lpstr>Break-even</vt:lpstr>
      <vt:lpstr>AI Report Log</vt:lpstr>
      <vt:lpstr>Leadership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Luana Becker</cp:lastModifiedBy>
  <dcterms:created xsi:type="dcterms:W3CDTF">2026-10-09T03:55:30Z</dcterms:created>
  <dcterms:modified xsi:type="dcterms:W3CDTF">2026-10-13T18:57:55Z</dcterms:modified>
</cp:coreProperties>
</file>